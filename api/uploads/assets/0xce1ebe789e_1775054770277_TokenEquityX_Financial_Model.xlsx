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" sheetId="3" state="visible" r:id="rId5"/>
    <sheet name="OPEX" sheetId="4" state="visible" r:id="rId6"/>
    <sheet name="P&amp;L" sheetId="5" state="visible" r:id="rId7"/>
    <sheet name="CASH FLOW" sheetId="6" state="visible" r:id="rId8"/>
    <sheet name="SCENARIOS" sheetId="7" state="visible" r:id="rId9"/>
    <sheet name="VALUATION" sheetId="8" state="visible" r:id="rId10"/>
    <sheet name="KPIs" sheetId="9" state="visible" r:id="rId11"/>
    <sheet name="CHARTS" sheetId="10" state="visible" r:id="rId12"/>
    <sheet name="BALANCE SHEE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<sst xmlns="http://schemas.openxmlformats.org/spreadsheetml/2006/main" count="630" uniqueCount="503">
  <si>
    <t xml:space="preserve">TOKENEQUITYX LTD</t>
  </si>
  <si>
    <t xml:space="preserve">INTEGRATED FINANCIAL MODEL</t>
  </si>
  <si>
    <t xml:space="preserve">Africa's Digital Capital Market Infrastructure  |  Harare, Zimbabwe</t>
  </si>
  <si>
    <t xml:space="preserve">MODEL DETAILS</t>
  </si>
  <si>
    <t xml:space="preserve">Model Version</t>
  </si>
  <si>
    <t xml:space="preserve">V1.0 — March 2026</t>
  </si>
  <si>
    <t xml:space="preserve">Prepared By</t>
  </si>
  <si>
    <t xml:space="preserve">TokenEquityX Ltd — Finance Team</t>
  </si>
  <si>
    <t xml:space="preserve">Reviewed By</t>
  </si>
  <si>
    <t xml:space="preserve">Richard Chimuka, CEO</t>
  </si>
  <si>
    <t xml:space="preserve">Projection Period</t>
  </si>
  <si>
    <t xml:space="preserve">FY2026 — FY2030 (5 years)</t>
  </si>
  <si>
    <t xml:space="preserve">Base Currency</t>
  </si>
  <si>
    <t xml:space="preserve">USD (United States Dollar)</t>
  </si>
  <si>
    <t xml:space="preserve">Units</t>
  </si>
  <si>
    <t xml:space="preserve">USD unless stated</t>
  </si>
  <si>
    <t xml:space="preserve">Fiscal Year End</t>
  </si>
  <si>
    <t xml:space="preserve">31 December</t>
  </si>
  <si>
    <t xml:space="preserve">Model Type</t>
  </si>
  <si>
    <t xml:space="preserve">Three-statement integrated model with DCF valuation</t>
  </si>
  <si>
    <t xml:space="preserve">COLOUR CODING LEGEND</t>
  </si>
  <si>
    <t xml:space="preserve">Input / Assumption</t>
  </si>
  <si>
    <t xml:space="preserve">Hardcoded values — change these to model scenarios</t>
  </si>
  <si>
    <t xml:space="preserve">Formula / Calculation</t>
  </si>
  <si>
    <t xml:space="preserve">Calculated values — do not edit directly</t>
  </si>
  <si>
    <t xml:space="preserve">Cross-Sheet Link</t>
  </si>
  <si>
    <t xml:space="preserve">Values pulled from another sheet in this workbook</t>
  </si>
  <si>
    <t xml:space="preserve">Section Header</t>
  </si>
  <si>
    <t xml:space="preserve">Major section labels and subtotals</t>
  </si>
  <si>
    <t xml:space="preserve">SHEET INDEX</t>
  </si>
  <si>
    <t xml:space="preserve">ASSUMPTIONS</t>
  </si>
  <si>
    <t xml:space="preserve">All model inputs and scenario toggles — START HERE</t>
  </si>
  <si>
    <t xml:space="preserve">REVENUE</t>
  </si>
  <si>
    <t xml:space="preserve">Detailed revenue build by stream</t>
  </si>
  <si>
    <t xml:space="preserve">OPEX</t>
  </si>
  <si>
    <t xml:space="preserve">Detailed operating expense build by category</t>
  </si>
  <si>
    <t xml:space="preserve">P&amp;L</t>
  </si>
  <si>
    <t xml:space="preserve">Integrated profit &amp; loss statement (5-year)</t>
  </si>
  <si>
    <t xml:space="preserve">CASH FLOW</t>
  </si>
  <si>
    <t xml:space="preserve">Cash flow statement — operating, investing, financing</t>
  </si>
  <si>
    <t xml:space="preserve">BALANCE SHEET</t>
  </si>
  <si>
    <t xml:space="preserve">Balance sheet projection</t>
  </si>
  <si>
    <t xml:space="preserve">SCENARIOS</t>
  </si>
  <si>
    <t xml:space="preserve">Side-by-side Bear / Base / Bull scenario comparison</t>
  </si>
  <si>
    <t xml:space="preserve">VALUATION</t>
  </si>
  <si>
    <t xml:space="preserve">DCF valuation, terminal value, sensitivity tables</t>
  </si>
  <si>
    <t xml:space="preserve">KPIs</t>
  </si>
  <si>
    <t xml:space="preserve">Key performance indicators and operational metrics</t>
  </si>
  <si>
    <t xml:space="preserve">CHARTS</t>
  </si>
  <si>
    <t xml:space="preserve">Visual summary — revenue, EBITDA, cash, valuation</t>
  </si>
  <si>
    <t xml:space="preserve">This financial model is prepared for internal planning and investor engagement purposes. All projections are forward-looking estimates based on stated assumptions and are subject to material uncertainty. Actual results may differ significantly. This model does not constitute an offer of securities or investment advice.</t>
  </si>
  <si>
    <t xml:space="preserve">TOKENEQUITYX — MODEL ASSUMPTIONS</t>
  </si>
  <si>
    <t xml:space="preserve">All blue cells are inputs. Change these to model different scenarios. Formulas reference these cells — do not hardcode values in other sheets.</t>
  </si>
  <si>
    <t xml:space="preserve">ASSUMPTION</t>
  </si>
  <si>
    <t xml:space="preserve">VALUE</t>
  </si>
  <si>
    <t xml:space="preserve">UNIT / FORMAT</t>
  </si>
  <si>
    <t xml:space="preserve">NOTES</t>
  </si>
  <si>
    <t xml:space="preserve">A. MACRO &amp; MARKET ASSUMPTIONS</t>
  </si>
  <si>
    <t xml:space="preserve">USD / ZWG Exchange Rate (planning rate)</t>
  </si>
  <si>
    <t xml:space="preserve">ZWG per USD</t>
  </si>
  <si>
    <t xml:space="preserve">Planning rate only — all model USD-denominated</t>
  </si>
  <si>
    <t xml:space="preserve">Annual USD Inflation Rate</t>
  </si>
  <si>
    <t xml:space="preserve">% p.a.</t>
  </si>
  <si>
    <t xml:space="preserve">For real-terms sensitivity only</t>
  </si>
  <si>
    <t xml:space="preserve">Polygon Gas Cost per Transaction</t>
  </si>
  <si>
    <t xml:space="preserve">USD per tx</t>
  </si>
  <si>
    <t xml:space="preserve">Average cost — negligible at current Polygon fees</t>
  </si>
  <si>
    <t xml:space="preserve">B. PLATFORM VOLUME ASSUMPTIONS</t>
  </si>
  <si>
    <t xml:space="preserve">Listed Assets — Year 1 (2026)</t>
  </si>
  <si>
    <t xml:space="preserve">assets</t>
  </si>
  <si>
    <t xml:space="preserve">Conservative sandbox pilot target</t>
  </si>
  <si>
    <t xml:space="preserve">Listed Assets — Year 2 (2027)</t>
  </si>
  <si>
    <t xml:space="preserve">Post-licence commercial launch</t>
  </si>
  <si>
    <t xml:space="preserve">Listed Assets — Year 3 (2028)</t>
  </si>
  <si>
    <t xml:space="preserve">Full commercial operations</t>
  </si>
  <si>
    <t xml:space="preserve">Listed Assets — Year 4 (2029)</t>
  </si>
  <si>
    <t xml:space="preserve">SADC expansion commencing</t>
  </si>
  <si>
    <t xml:space="preserve">Listed Assets — Year 5 (2030)</t>
  </si>
  <si>
    <t xml:space="preserve">Pan-African scale</t>
  </si>
  <si>
    <t xml:space="preserve">Registered Investors — Year 1</t>
  </si>
  <si>
    <t xml:space="preserve">investors</t>
  </si>
  <si>
    <t xml:space="preserve">Institutional focus in sandbox phase</t>
  </si>
  <si>
    <t xml:space="preserve">Registered Investors — Year 2</t>
  </si>
  <si>
    <t xml:space="preserve">Post-licence retail and institutional</t>
  </si>
  <si>
    <t xml:space="preserve">Registered Investors — Year 3</t>
  </si>
  <si>
    <t xml:space="preserve">SADC market entry accelerates growth</t>
  </si>
  <si>
    <t xml:space="preserve">Registered Investors — Year 4</t>
  </si>
  <si>
    <t xml:space="preserve">Multi-country investor base</t>
  </si>
  <si>
    <t xml:space="preserve">Registered Investors — Year 5</t>
  </si>
  <si>
    <t xml:space="preserve">Continental scale</t>
  </si>
  <si>
    <t xml:space="preserve">Monthly Trading Volume — Year 1 (USD)</t>
  </si>
  <si>
    <t xml:space="preserve">USD/month</t>
  </si>
  <si>
    <t xml:space="preserve">Sandbox pilot — controlled volumes</t>
  </si>
  <si>
    <t xml:space="preserve">Monthly Trading Volume — Year 2 (USD)</t>
  </si>
  <si>
    <t xml:space="preserve">Post-licence ramp-up</t>
  </si>
  <si>
    <t xml:space="preserve">Monthly Trading Volume — Year 3 (USD)</t>
  </si>
  <si>
    <t xml:space="preserve">Full trading with banking partners</t>
  </si>
  <si>
    <t xml:space="preserve">Monthly Trading Volume — Year 4 (USD)</t>
  </si>
  <si>
    <t xml:space="preserve">SADC expansion</t>
  </si>
  <si>
    <t xml:space="preserve">Monthly Trading Volume — Year 5 (USD)</t>
  </si>
  <si>
    <t xml:space="preserve">Pan-African volumes</t>
  </si>
  <si>
    <t xml:space="preserve">C. REVENUE RATE ASSUMPTIONS</t>
  </si>
  <si>
    <t xml:space="preserve">Trading Fee Rate</t>
  </si>
  <si>
    <t xml:space="preserve">% of trade value</t>
  </si>
  <si>
    <t xml:space="preserve">0.50% per matched trade — both sides</t>
  </si>
  <si>
    <t xml:space="preserve">Issuance Fee Rate</t>
  </si>
  <si>
    <t xml:space="preserve">% of issuance value</t>
  </si>
  <si>
    <t xml:space="preserve">0.25% of token offer value at launch</t>
  </si>
  <si>
    <t xml:space="preserve">Average Issuance Size (USD)</t>
  </si>
  <si>
    <t xml:space="preserve">USD</t>
  </si>
  <si>
    <t xml:space="preserve">Average value per new token issuance</t>
  </si>
  <si>
    <t xml:space="preserve">Annual Platform Fee per Asset (USD)</t>
  </si>
  <si>
    <t xml:space="preserve">USD per asset p.a.</t>
  </si>
  <si>
    <t xml:space="preserve">Annual listing and maintenance fee</t>
  </si>
  <si>
    <t xml:space="preserve">Valuation Service Fee per Submission (USD)</t>
  </si>
  <si>
    <t xml:space="preserve">USD per submission</t>
  </si>
  <si>
    <t xml:space="preserve">Financial data pipeline processing fee</t>
  </si>
  <si>
    <t xml:space="preserve">Valuation Submissions per Asset per Year</t>
  </si>
  <si>
    <t xml:space="preserve">submissions p.a.</t>
  </si>
  <si>
    <t xml:space="preserve">Quarterly data submissions per listed asset</t>
  </si>
  <si>
    <t xml:space="preserve">KYC Onboarding Fee per Investor (USD)</t>
  </si>
  <si>
    <t xml:space="preserve">USD per investor</t>
  </si>
  <si>
    <t xml:space="preserve">One-time KYC processing fee</t>
  </si>
  <si>
    <t xml:space="preserve">White-Label Licence Fee — Year 2 (USD)</t>
  </si>
  <si>
    <t xml:space="preserve">USD p.a.</t>
  </si>
  <si>
    <t xml:space="preserve">First banking partner deployment</t>
  </si>
  <si>
    <t xml:space="preserve">White-Label Licence Fee — Year 3 (USD)</t>
  </si>
  <si>
    <t xml:space="preserve">Second banking partner + renewals</t>
  </si>
  <si>
    <t xml:space="preserve">White-Label Licence Fee — Year 4 (USD)</t>
  </si>
  <si>
    <t xml:space="preserve">SADC market deployments</t>
  </si>
  <si>
    <t xml:space="preserve">White-Label Licence Fee — Year 5 (USD)</t>
  </si>
  <si>
    <t xml:space="preserve">Pan-African licensing revenue</t>
  </si>
  <si>
    <t xml:space="preserve">Data &amp; Analytics Revenue — Year 2 (USD)</t>
  </si>
  <si>
    <t xml:space="preserve">5 institutional data subscribers @ avg USD 500/month</t>
  </si>
  <si>
    <t xml:space="preserve">Data &amp; Analytics Revenue — Year 3 (USD)</t>
  </si>
  <si>
    <t xml:space="preserve">Growing subscriber base</t>
  </si>
  <si>
    <t xml:space="preserve">Data &amp; Analytics Revenue — Year 4 (USD)</t>
  </si>
  <si>
    <t xml:space="preserve">SADC data products</t>
  </si>
  <si>
    <t xml:space="preserve">Data &amp; Analytics Revenue — Year 5 (USD)</t>
  </si>
  <si>
    <t xml:space="preserve">Continental data franchise</t>
  </si>
  <si>
    <t xml:space="preserve">IFC Technical Assistance Grant — Year 1 (USD)</t>
  </si>
  <si>
    <t xml:space="preserve">USD one-time</t>
  </si>
  <si>
    <t xml:space="preserve">Stage-gated: 40K on sandbox application, 40K on approval</t>
  </si>
  <si>
    <t xml:space="preserve">D. OPERATING EXPENSE ASSUMPTIONS</t>
  </si>
  <si>
    <t xml:space="preserve">CEO Salary (from Year 2, USD p.a.)</t>
  </si>
  <si>
    <t xml:space="preserve">Richard Chimuka — market rate for Zimbabwe fintech CEO</t>
  </si>
  <si>
    <t xml:space="preserve">CTO Salary (from Year 2, USD p.a.)</t>
  </si>
  <si>
    <t xml:space="preserve">Leo Gaviao — Year 1 equity only</t>
  </si>
  <si>
    <t xml:space="preserve">Senior Full-Stack Developer (from Q2 Y1)</t>
  </si>
  <si>
    <t xml:space="preserve">First hire — platform development and maintenance</t>
  </si>
  <si>
    <t xml:space="preserve">Compliance Officer (from Q2 Y1)</t>
  </si>
  <si>
    <t xml:space="preserve">Required before live transactions — mandatory pre-condition</t>
  </si>
  <si>
    <t xml:space="preserve">Blockchain Developer (from Q3 Y1)</t>
  </si>
  <si>
    <t xml:space="preserve">Smart contract management and oracle operations</t>
  </si>
  <si>
    <t xml:space="preserve">Business Development Manager (from Q3 Y1)</t>
  </si>
  <si>
    <t xml:space="preserve">Issuer acquisition and investor onboarding</t>
  </si>
  <si>
    <t xml:space="preserve">Finance &amp; Operations Manager (from Q4 Y1)</t>
  </si>
  <si>
    <t xml:space="preserve">Financial reporting and operations management</t>
  </si>
  <si>
    <t xml:space="preserve">Systems Administrator (from Q4 Y1)</t>
  </si>
  <si>
    <t xml:space="preserve">Infrastructure management and security</t>
  </si>
  <si>
    <t xml:space="preserve">Additional Headcount — Year 2 (USD p.a.)</t>
  </si>
  <si>
    <t xml:space="preserve">2-3 additional hires for post-licence operations</t>
  </si>
  <si>
    <t xml:space="preserve">Additional Headcount — Year 3 (USD p.a.)</t>
  </si>
  <si>
    <t xml:space="preserve">SADC expansion team</t>
  </si>
  <si>
    <t xml:space="preserve">Additional Headcount — Year 4 (USD p.a.)</t>
  </si>
  <si>
    <t xml:space="preserve">Multi-country management layer</t>
  </si>
  <si>
    <t xml:space="preserve">Additional Headcount — Year 5 (USD p.a.)</t>
  </si>
  <si>
    <t xml:space="preserve">Pan-African team</t>
  </si>
  <si>
    <t xml:space="preserve">Cloud Infrastructure (USD p.a.)</t>
  </si>
  <si>
    <t xml:space="preserve">API servers, database, storage — AWS or equivalent</t>
  </si>
  <si>
    <t xml:space="preserve">Cloud Infrastructure Annual Growth</t>
  </si>
  <si>
    <t xml:space="preserve">Scales with transaction volumes</t>
  </si>
  <si>
    <t xml:space="preserve">Polygon RPC Node (USD p.a.)</t>
  </si>
  <si>
    <t xml:space="preserve">Alchemy / Infura growth plan</t>
  </si>
  <si>
    <t xml:space="preserve">RPC Node Annual Growth</t>
  </si>
  <si>
    <t xml:space="preserve">Increases with transaction volume</t>
  </si>
  <si>
    <t xml:space="preserve">Smart Contract Security Audit — Year 1 (USD)</t>
  </si>
  <si>
    <t xml:space="preserve">Certik / Hacken — 11 contract full audit</t>
  </si>
  <si>
    <t xml:space="preserve">Annual Security Review (Year 2+, USD)</t>
  </si>
  <si>
    <t xml:space="preserve">Ongoing annual review and patch audit</t>
  </si>
  <si>
    <t xml:space="preserve">Legal &amp; Regulatory Fees — Year 1 (USD)</t>
  </si>
  <si>
    <t xml:space="preserve">Securities law opinion, SECZ engagement, company set-up</t>
  </si>
  <si>
    <t xml:space="preserve">Legal &amp; Regulatory Fees — Ongoing (USD)</t>
  </si>
  <si>
    <t xml:space="preserve">Annual regulatory compliance and reporting</t>
  </si>
  <si>
    <t xml:space="preserve">Marketing &amp; Business Development — Year 1 (USD)</t>
  </si>
  <si>
    <t xml:space="preserve">Brand, website, conference, issuer acquisition</t>
  </si>
  <si>
    <t xml:space="preserve">Marketing Budget Annual Growth</t>
  </si>
  <si>
    <t xml:space="preserve">Accelerates through commercial launch</t>
  </si>
  <si>
    <t xml:space="preserve">Annual Penetration Test (USD)</t>
  </si>
  <si>
    <t xml:space="preserve">Annual external cybersecurity assessment</t>
  </si>
  <si>
    <t xml:space="preserve">General &amp; Administrative — Year 1 (USD)</t>
  </si>
  <si>
    <t xml:space="preserve">Office, travel, subscriptions, miscellaneous</t>
  </si>
  <si>
    <t xml:space="preserve">G&amp;A Annual Growth</t>
  </si>
  <si>
    <t xml:space="preserve">Scales modestly with headcount</t>
  </si>
  <si>
    <t xml:space="preserve">Depreciation &amp; Amortisation (% of prior year OpEx)</t>
  </si>
  <si>
    <t xml:space="preserve">%</t>
  </si>
  <si>
    <t xml:space="preserve">Capitalised software amortisation estimate</t>
  </si>
  <si>
    <t xml:space="preserve">E. VALUATION ASSUMPTIONS (DCF)</t>
  </si>
  <si>
    <t xml:space="preserve">WACC (Discount Rate)</t>
  </si>
  <si>
    <t xml:space="preserve">High-growth emerging market — reflects risk profile</t>
  </si>
  <si>
    <t xml:space="preserve">Terminal Growth Rate</t>
  </si>
  <si>
    <t xml:space="preserve">Long-run growth — conservative for African market</t>
  </si>
  <si>
    <t xml:space="preserve">EV / Revenue Multiple (exit year)</t>
  </si>
  <si>
    <t xml:space="preserve">x</t>
  </si>
  <si>
    <t xml:space="preserve">African fintech comp set — Flutterwave, Paystack at IPO stage</t>
  </si>
  <si>
    <t xml:space="preserve">EV / EBITDA Multiple (exit year)</t>
  </si>
  <si>
    <t xml:space="preserve">High-growth digital exchange comparable</t>
  </si>
  <si>
    <t xml:space="preserve">Corporate Tax Rate</t>
  </si>
  <si>
    <t xml:space="preserve">Zimbabwe standard corporate tax rate</t>
  </si>
  <si>
    <t xml:space="preserve">F. SCENARIO TOGGLE</t>
  </si>
  <si>
    <t xml:space="preserve">Active Scenario</t>
  </si>
  <si>
    <t xml:space="preserve">Base</t>
  </si>
  <si>
    <t xml:space="preserve">Bear / Base / Bull</t>
  </si>
  <si>
    <t xml:space="preserve">Bear = 60% of Base volumes; Bull = 150% of Base volumes</t>
  </si>
  <si>
    <t xml:space="preserve">Bear Case Volume Factor</t>
  </si>
  <si>
    <t xml:space="preserve">x Base</t>
  </si>
  <si>
    <t xml:space="preserve">Applies to all volume-driven revenues</t>
  </si>
  <si>
    <t xml:space="preserve">Bull Case Volume Factor</t>
  </si>
  <si>
    <t xml:space="preserve">TOKENEQUITYX — REVENUE MODEL</t>
  </si>
  <si>
    <t xml:space="preserve">Detailed revenue build by stream. All inputs from ASSUMPTIONS sheet. Green = cross-sheet links.</t>
  </si>
  <si>
    <t xml:space="preserve">REVENUE STREAM</t>
  </si>
  <si>
    <t xml:space="preserve">2026A</t>
  </si>
  <si>
    <t xml:space="preserve">2027E</t>
  </si>
  <si>
    <t xml:space="preserve">2028E</t>
  </si>
  <si>
    <t xml:space="preserve">2029E</t>
  </si>
  <si>
    <t xml:space="preserve">2030E</t>
  </si>
  <si>
    <t xml:space="preserve">A. VOLUME DRIVERS</t>
  </si>
  <si>
    <t xml:space="preserve">Listed Assets</t>
  </si>
  <si>
    <t xml:space="preserve">From Assumptions — user-controlled input</t>
  </si>
  <si>
    <t xml:space="preserve">New Assets Listed (net)</t>
  </si>
  <si>
    <t xml:space="preserve">Incremental new listings per year</t>
  </si>
  <si>
    <t xml:space="preserve">Registered Investors</t>
  </si>
  <si>
    <t xml:space="preserve">From Assumptions</t>
  </si>
  <si>
    <t xml:space="preserve">New Investors (net)</t>
  </si>
  <si>
    <t xml:space="preserve">Incremental new investors</t>
  </si>
  <si>
    <t xml:space="preserve">Annual Trading Volume (USD)</t>
  </si>
  <si>
    <t xml:space="preserve">Monthly × 12</t>
  </si>
  <si>
    <t xml:space="preserve">Scenario Volume Multiplier</t>
  </si>
  <si>
    <t xml:space="preserve">Bear=0.60x | Base=1.00x | Bull=1.50x of volume assumptions</t>
  </si>
  <si>
    <t xml:space="preserve">B. REVENUE BY STREAM</t>
  </si>
  <si>
    <t xml:space="preserve">1. Trading Fees</t>
  </si>
  <si>
    <t xml:space="preserve">Annual trading volume × 0.50% fee rate × scenario multiplier</t>
  </si>
  <si>
    <t xml:space="preserve">2. Issuance Fees</t>
  </si>
  <si>
    <t xml:space="preserve">Net new assets × avg issuance size × 0.25% fee</t>
  </si>
  <si>
    <t xml:space="preserve">3. Annual Platform Fees</t>
  </si>
  <si>
    <t xml:space="preserve">Total assets × USD 5,000 p.a. — NOT scenario-adjusted (fee is fixed per listing)</t>
  </si>
  <si>
    <t xml:space="preserve">4. Valuation Services</t>
  </si>
  <si>
    <t xml:space="preserve">Assets × 4 submissions/year × USD 500</t>
  </si>
  <si>
    <t xml:space="preserve">5. KYC Onboarding Fees</t>
  </si>
  <si>
    <t xml:space="preserve">New investors × USD 50 onboarding fee</t>
  </si>
  <si>
    <t xml:space="preserve">6. White-Label Licensing</t>
  </si>
  <si>
    <t xml:space="preserve">Banking partner deployments — Year 2 onwards</t>
  </si>
  <si>
    <t xml:space="preserve">7. Data &amp; Analytics</t>
  </si>
  <si>
    <t xml:space="preserve">Market data subscriptions — Year 2 onwards</t>
  </si>
  <si>
    <t xml:space="preserve">8. IFC Technical Assistance Grant</t>
  </si>
  <si>
    <t xml:space="preserve">One-time TA grant — Year 1 only</t>
  </si>
  <si>
    <t xml:space="preserve">TOTAL REVENUE</t>
  </si>
  <si>
    <t xml:space="preserve">  Revenue Growth YoY</t>
  </si>
  <si>
    <t xml:space="preserve">—</t>
  </si>
  <si>
    <t xml:space="preserve">C. REVENUE MIX %</t>
  </si>
  <si>
    <t xml:space="preserve">Trading Fees %</t>
  </si>
  <si>
    <t xml:space="preserve">Issuance Fees %</t>
  </si>
  <si>
    <t xml:space="preserve">Platform Fees %</t>
  </si>
  <si>
    <t xml:space="preserve">Valuation Services %</t>
  </si>
  <si>
    <t xml:space="preserve">KYC Fees %</t>
  </si>
  <si>
    <t xml:space="preserve">White-Label %</t>
  </si>
  <si>
    <t xml:space="preserve">Data &amp; Analytics %</t>
  </si>
  <si>
    <t xml:space="preserve">IFC Grant %</t>
  </si>
  <si>
    <t xml:space="preserve">TOKENEQUITYX — OPERATING EXPENSE MODEL</t>
  </si>
  <si>
    <t xml:space="preserve">All costs in USD. Inputs from ASSUMPTIONS sheet. Year 1 shows prorated costs for mid-year hires.</t>
  </si>
  <si>
    <t xml:space="preserve">COST ITEM</t>
  </si>
  <si>
    <t xml:space="preserve">A. PEOPLE COSTS</t>
  </si>
  <si>
    <t xml:space="preserve">CEO Salary</t>
  </si>
  <si>
    <t xml:space="preserve">Year 1 equity only; salary from Year 2</t>
  </si>
  <si>
    <t xml:space="preserve">CTO Salary</t>
  </si>
  <si>
    <t xml:space="preserve">Senior Full-Stack Developer</t>
  </si>
  <si>
    <t xml:space="preserve">Q2 Year 1 hire — prorated 75%</t>
  </si>
  <si>
    <t xml:space="preserve">Compliance Officer</t>
  </si>
  <si>
    <t xml:space="preserve">Q2 Year 1 hire — mandatory before live transactions</t>
  </si>
  <si>
    <t xml:space="preserve">Blockchain Developer</t>
  </si>
  <si>
    <t xml:space="preserve">Q3 Year 1 hire — prorated 50%</t>
  </si>
  <si>
    <t xml:space="preserve">Business Development Manager</t>
  </si>
  <si>
    <t xml:space="preserve">Finance &amp; Operations Manager</t>
  </si>
  <si>
    <t xml:space="preserve">Q4 Year 1 hire — prorated 25%</t>
  </si>
  <si>
    <t xml:space="preserve">Systems Administrator</t>
  </si>
  <si>
    <t xml:space="preserve">Additional Headcount</t>
  </si>
  <si>
    <t xml:space="preserve">SADC and pan-African expansion hires</t>
  </si>
  <si>
    <t xml:space="preserve">Total People Costs</t>
  </si>
  <si>
    <t xml:space="preserve">B. TECHNOLOGY COSTS</t>
  </si>
  <si>
    <t xml:space="preserve">Cloud Infrastructure (API/DB/Storage)</t>
  </si>
  <si>
    <t xml:space="preserve">Year 1 base; grows {A(ASS_CLOUD_GROWTH)} p.a.</t>
  </si>
  <si>
    <t xml:space="preserve">Polygon RPC Node</t>
  </si>
  <si>
    <t xml:space="preserve">Monitoring, Alerting &amp; DevOps Tools</t>
  </si>
  <si>
    <t xml:space="preserve">Grafana, PagerDuty, CI/CD pipelines</t>
  </si>
  <si>
    <t xml:space="preserve">Annual Penetration Test</t>
  </si>
  <si>
    <t xml:space="preserve">Miscellaneous Tech Licences &amp; Tools</t>
  </si>
  <si>
    <t xml:space="preserve">Domain, SSL, productivity tools, developer licences</t>
  </si>
  <si>
    <t xml:space="preserve">Total Technology Costs</t>
  </si>
  <si>
    <t xml:space="preserve">C. REGULATORY &amp; LEGAL COSTS</t>
  </si>
  <si>
    <t xml:space="preserve">Smart Contract Security Audit</t>
  </si>
  <si>
    <t xml:space="preserve">Year 1: full audit; Year 2+: annual review</t>
  </si>
  <si>
    <t xml:space="preserve">Legal &amp; Regulatory Fees</t>
  </si>
  <si>
    <t xml:space="preserve">SECZ, RBZ, legal opinions; scales with SADC expansion</t>
  </si>
  <si>
    <t xml:space="preserve">Compliance &amp; Regulatory Reporting</t>
  </si>
  <si>
    <t xml:space="preserve">Monthly SECZ sandbox reports, annual compliance audits</t>
  </si>
  <si>
    <t xml:space="preserve">SECZ / Exchange Licence Fees</t>
  </si>
  <si>
    <t xml:space="preserve">Annual regulatory licence fees — sandbox then full licence</t>
  </si>
  <si>
    <t xml:space="preserve">Total Regulatory &amp; Legal</t>
  </si>
  <si>
    <t xml:space="preserve">D. SALES &amp; MARKETING</t>
  </si>
  <si>
    <t xml:space="preserve">Brand &amp; Digital Marketing</t>
  </si>
  <si>
    <t xml:space="preserve">Website, LinkedIn, fintech press, thought leadership</t>
  </si>
  <si>
    <t xml:space="preserve">Conference &amp; Events</t>
  </si>
  <si>
    <t xml:space="preserve">SECZ symposia, AfDB forums, SADC fintech conferences</t>
  </si>
  <si>
    <t xml:space="preserve">Issuer Acquisition &amp; BD</t>
  </si>
  <si>
    <t xml:space="preserve">Direct sales and issuer origination costs</t>
  </si>
  <si>
    <t xml:space="preserve">Total Sales &amp; Marketing</t>
  </si>
  <si>
    <t xml:space="preserve">E. GENERAL &amp; ADMINISTRATIVE</t>
  </si>
  <si>
    <t xml:space="preserve">Office &amp; Facilities</t>
  </si>
  <si>
    <t xml:space="preserve">Harare office rent and utilities</t>
  </si>
  <si>
    <t xml:space="preserve">Travel &amp; Subsistence</t>
  </si>
  <si>
    <t xml:space="preserve">Regulatory meetings, investor roadshows, SADC travel</t>
  </si>
  <si>
    <t xml:space="preserve">Insurance</t>
  </si>
  <si>
    <t xml:space="preserve">PI insurance, cyber insurance, D&amp;O insurance</t>
  </si>
  <si>
    <t xml:space="preserve">Finance, Audit &amp; Accounting</t>
  </si>
  <si>
    <t xml:space="preserve">Annual statutory audit, bookkeeping, tax compliance</t>
  </si>
  <si>
    <t xml:space="preserve">Miscellaneous G&amp;A</t>
  </si>
  <si>
    <t xml:space="preserve">Sundry expenses</t>
  </si>
  <si>
    <t xml:space="preserve">Total G&amp;A</t>
  </si>
  <si>
    <t xml:space="preserve">F. DEPRECIATION &amp; AMORTISATION</t>
  </si>
  <si>
    <t xml:space="preserve">Depreciation &amp; Amortisation</t>
  </si>
  <si>
    <t xml:space="preserve">Capitalised platform development amortisation</t>
  </si>
  <si>
    <t xml:space="preserve">TOTAL OPERATING EXPENSES</t>
  </si>
  <si>
    <t xml:space="preserve">  OpEx as % of Revenue</t>
  </si>
  <si>
    <t xml:space="preserve">TOKENEQUITYX — PROFIT &amp; LOSS STATEMENT</t>
  </si>
  <si>
    <t xml:space="preserve">All values USD. Green cells link from REVENUE and OPEX sheets. Negative = loss / cost.</t>
  </si>
  <si>
    <t xml:space="preserve">INCOME STATEMENT (USD)</t>
  </si>
  <si>
    <t xml:space="preserve">  Trading Fees</t>
  </si>
  <si>
    <t xml:space="preserve">  Issuance Fees</t>
  </si>
  <si>
    <t xml:space="preserve">  Annual Platform Fees</t>
  </si>
  <si>
    <t xml:space="preserve">  Valuation Services</t>
  </si>
  <si>
    <t xml:space="preserve">  KYC Onboarding Fees</t>
  </si>
  <si>
    <t xml:space="preserve">  White-Label Licensing</t>
  </si>
  <si>
    <t xml:space="preserve">  Data &amp; Analytics</t>
  </si>
  <si>
    <t xml:space="preserve">OTHER INCOME</t>
  </si>
  <si>
    <t xml:space="preserve">  IFC Technical Assistance Grant</t>
  </si>
  <si>
    <t xml:space="preserve">Year 1 only — non-recurring</t>
  </si>
  <si>
    <t xml:space="preserve">TOTAL OTHER INCOME</t>
  </si>
  <si>
    <t xml:space="preserve">GROSS PROFIT / TOTAL INCOME</t>
  </si>
  <si>
    <t xml:space="preserve">OPERATING EXPENSES</t>
  </si>
  <si>
    <t xml:space="preserve">  People Costs</t>
  </si>
  <si>
    <t xml:space="preserve">  Technology Costs</t>
  </si>
  <si>
    <t xml:space="preserve">  Regulatory &amp; Legal</t>
  </si>
  <si>
    <t xml:space="preserve">  Sales &amp; Marketing</t>
  </si>
  <si>
    <t xml:space="preserve">  General &amp; Administrative</t>
  </si>
  <si>
    <t xml:space="preserve">EBITDA</t>
  </si>
  <si>
    <t xml:space="preserve">  EBITDA Margin</t>
  </si>
  <si>
    <t xml:space="preserve">BELOW THE LINE</t>
  </si>
  <si>
    <t xml:space="preserve">  Depreciation &amp; Amortisation</t>
  </si>
  <si>
    <t xml:space="preserve">EBIT (Operating Profit)</t>
  </si>
  <si>
    <t xml:space="preserve">  Interest Income / (Expense)</t>
  </si>
  <si>
    <t xml:space="preserve">PROFIT BEFORE TAX (PBT)</t>
  </si>
  <si>
    <t xml:space="preserve">  Income Tax ({A(ASS_TAX_RATE)} rate)</t>
  </si>
  <si>
    <t xml:space="preserve">NET PROFIT / (LOSS)</t>
  </si>
  <si>
    <t xml:space="preserve">  Net Profit Margin</t>
  </si>
  <si>
    <t xml:space="preserve">TOKENEQUITYX — CASH FLOW STATEMENT</t>
  </si>
  <si>
    <t xml:space="preserve">Indirect method. Links from P&amp;L. Opening cash = closing cash of prior year.</t>
  </si>
  <si>
    <t xml:space="preserve">CASH FLOW STATEMENT (USD)</t>
  </si>
  <si>
    <t xml:space="preserve">A. OPERATING ACTIVITIES</t>
  </si>
  <si>
    <t xml:space="preserve">Net Profit / (Loss)</t>
  </si>
  <si>
    <t xml:space="preserve">From P&amp;L</t>
  </si>
  <si>
    <t xml:space="preserve">Add: Depreciation &amp; Amortisation</t>
  </si>
  <si>
    <t xml:space="preserve">D&amp;A added back (non-cash)</t>
  </si>
  <si>
    <t xml:space="preserve">Changes in Working Capital</t>
  </si>
  <si>
    <t xml:space="preserve">~4% of revenue increment — trade receivables and payables</t>
  </si>
  <si>
    <t xml:space="preserve">NET CASH FROM OPERATING ACTIVITIES</t>
  </si>
  <si>
    <t xml:space="preserve">B. INVESTING ACTIVITIES</t>
  </si>
  <si>
    <t xml:space="preserve">Capital Expenditure (Capitalised Software)</t>
  </si>
  <si>
    <t xml:space="preserve">Platform development capitalisation</t>
  </si>
  <si>
    <t xml:space="preserve">NET CASH FROM INVESTING ACTIVITIES</t>
  </si>
  <si>
    <t xml:space="preserve">C. FINANCING ACTIVITIES</t>
  </si>
  <si>
    <t xml:space="preserve">Equity Capital Raised</t>
  </si>
  <si>
    <t xml:space="preserve">Year 1: Founder equity / IFC grant deployment for setup costs</t>
  </si>
  <si>
    <t xml:space="preserve">NET CASH FROM FINANCING ACTIVITIES</t>
  </si>
  <si>
    <t xml:space="preserve">NET CHANGE IN CASH</t>
  </si>
  <si>
    <t xml:space="preserve">Opening Cash Balance</t>
  </si>
  <si>
    <t xml:space="preserve">Start of period cash</t>
  </si>
  <si>
    <t xml:space="preserve">CLOSING CASH BALANCE</t>
  </si>
  <si>
    <t xml:space="preserve">TOKENEQUITYX — SCENARIO COMPARISON</t>
  </si>
  <si>
    <t xml:space="preserve">Bear (60% of Base volumes) | Base (100%) | Bull (150%). Set scenario in ASSUMPTIONS!C to see dynamic P&amp;L above.</t>
  </si>
  <si>
    <t xml:space="preserve">BEAR CASE (60% Vol)</t>
  </si>
  <si>
    <t xml:space="preserve">BASE CASE (100% Vol)</t>
  </si>
  <si>
    <t xml:space="preserve">BULL CASE (150% Vol)</t>
  </si>
  <si>
    <t xml:space="preserve">METRIC (USD)</t>
  </si>
  <si>
    <t xml:space="preserve">Total Revenue</t>
  </si>
  <si>
    <t xml:space="preserve">  Platform Fees</t>
  </si>
  <si>
    <t xml:space="preserve">Total OpEx</t>
  </si>
  <si>
    <t xml:space="preserve">EBITDA Margin</t>
  </si>
  <si>
    <t xml:space="preserve">Net Margin</t>
  </si>
  <si>
    <t xml:space="preserve">Closing Cash</t>
  </si>
  <si>
    <t xml:space="preserve">TOKENEQUITYX — VALUATION MODEL</t>
  </si>
  <si>
    <t xml:space="preserve">DCF valuation + exit multiples + sensitivity tables. All assumptions from ASSUMPTIONS sheet.</t>
  </si>
  <si>
    <t xml:space="preserve">A. DISCOUNTED CASH FLOW VALUATION</t>
  </si>
  <si>
    <t xml:space="preserve">DCF INPUTS</t>
  </si>
  <si>
    <t xml:space="preserve">SOURCE</t>
  </si>
  <si>
    <t xml:space="preserve">ASSUMPTIONS!C77</t>
  </si>
  <si>
    <t xml:space="preserve">ASSUMPTIONS!C78</t>
  </si>
  <si>
    <t xml:space="preserve">Projection Period (years)</t>
  </si>
  <si>
    <t xml:space="preserve">5-year explicit forecast</t>
  </si>
  <si>
    <t xml:space="preserve">Terminal Year EBITDA</t>
  </si>
  <si>
    <t xml:space="preserve">P&amp;L Year 5 EBITDA</t>
  </si>
  <si>
    <t xml:space="preserve">Terminal Year Revenue</t>
  </si>
  <si>
    <t xml:space="preserve">P&amp;L Year 5 Revenue</t>
  </si>
  <si>
    <t xml:space="preserve">B. FREE CASH FLOW TO FIRM (FCFF)</t>
  </si>
  <si>
    <t xml:space="preserve">FCFF BUILD (USD)</t>
  </si>
  <si>
    <t xml:space="preserve">  EBIT</t>
  </si>
  <si>
    <t xml:space="preserve">  Less: Tax on EBIT</t>
  </si>
  <si>
    <t xml:space="preserve">  Add: D&amp;A</t>
  </si>
  <si>
    <t xml:space="preserve">  Less: CapEx</t>
  </si>
  <si>
    <t xml:space="preserve">  Less: ΔWC</t>
  </si>
  <si>
    <t xml:space="preserve">FREE CASH FLOW (FCFF)</t>
  </si>
  <si>
    <t xml:space="preserve">  Discount Factor</t>
  </si>
  <si>
    <t xml:space="preserve">  PV of FCFF</t>
  </si>
  <si>
    <t xml:space="preserve">C. TERMINAL VALUE AND EQUITY VALUE</t>
  </si>
  <si>
    <t xml:space="preserve">Sum of PV of FCFFs</t>
  </si>
  <si>
    <t xml:space="preserve">Terminal FCFF (Year 5 × (1+g))</t>
  </si>
  <si>
    <t xml:space="preserve">Terminal Value (Gordon Growth Model)</t>
  </si>
  <si>
    <t xml:space="preserve">PV of Terminal Value</t>
  </si>
  <si>
    <t xml:space="preserve">Enterprise Value (DCF)</t>
  </si>
  <si>
    <t xml:space="preserve">Less: Net Debt / (Cash)</t>
  </si>
  <si>
    <t xml:space="preserve">EQUITY VALUE (DCF)</t>
  </si>
  <si>
    <t xml:space="preserve">D. EXIT MULTIPLE VALUATION</t>
  </si>
  <si>
    <t xml:space="preserve">METRIC</t>
  </si>
  <si>
    <t xml:space="preserve">YEAR 5 VALUE</t>
  </si>
  <si>
    <t xml:space="preserve">MULTIPLE</t>
  </si>
  <si>
    <t xml:space="preserve">ENTERPRISE VALUE</t>
  </si>
  <si>
    <t xml:space="preserve">EV / Revenue</t>
  </si>
  <si>
    <t xml:space="preserve">EV / EBITDA</t>
  </si>
  <si>
    <t xml:space="preserve">E. VALUATION SUMMARY</t>
  </si>
  <si>
    <t xml:space="preserve">DCF Equity Value</t>
  </si>
  <si>
    <t xml:space="preserve">EV / Revenue Multiple</t>
  </si>
  <si>
    <t xml:space="preserve">EV / EBITDA Multiple</t>
  </si>
  <si>
    <t xml:space="preserve">BLENDED EQUITY VALUATION</t>
  </si>
  <si>
    <t xml:space="preserve">F. SENSITIVITY ANALYSIS — EQUITY VALUE vs WACC &amp; TERMINAL GROWTH</t>
  </si>
  <si>
    <t xml:space="preserve">WACC ↓ / TGR →</t>
  </si>
  <si>
    <t xml:space="preserve">TOKENEQUITYX — KEY PERFORMANCE INDICATORS</t>
  </si>
  <si>
    <t xml:space="preserve">KPI</t>
  </si>
  <si>
    <t xml:space="preserve">A. PLATFORM OPERATIONAL KPIs</t>
  </si>
  <si>
    <t xml:space="preserve">Listed Assets (EOP)</t>
  </si>
  <si>
    <t xml:space="preserve">End of period listed assets</t>
  </si>
  <si>
    <t xml:space="preserve">Registered Investors (EOP)</t>
  </si>
  <si>
    <t xml:space="preserve">End of period total investors</t>
  </si>
  <si>
    <t xml:space="preserve">Monthly Trading Volume (USD)</t>
  </si>
  <si>
    <t xml:space="preserve">Monthly average trading volume</t>
  </si>
  <si>
    <t xml:space="preserve">Annual aggregate</t>
  </si>
  <si>
    <t xml:space="preserve">Assets per Employee (approx.)</t>
  </si>
  <si>
    <t xml:space="preserve">Operational efficiency metric</t>
  </si>
  <si>
    <t xml:space="preserve">B. FINANCIAL KPIs</t>
  </si>
  <si>
    <t xml:space="preserve">Total Revenue (USD)</t>
  </si>
  <si>
    <t xml:space="preserve">Revenue per Listed Asset (USD)</t>
  </si>
  <si>
    <t xml:space="preserve">Revenue efficiency per asset</t>
  </si>
  <si>
    <t xml:space="preserve">Revenue per Investor (USD)</t>
  </si>
  <si>
    <t xml:space="preserve">Average revenue per investor</t>
  </si>
  <si>
    <t xml:space="preserve">EBITDA (USD)</t>
  </si>
  <si>
    <t xml:space="preserve">Net Profit / (Loss) (USD)</t>
  </si>
  <si>
    <t xml:space="preserve">Net Profit Margin</t>
  </si>
  <si>
    <t xml:space="preserve">Closing Cash Balance (USD)</t>
  </si>
  <si>
    <t xml:space="preserve">C. UNIT ECONOMICS</t>
  </si>
  <si>
    <t xml:space="preserve">Trading Fee per USD Volume</t>
  </si>
  <si>
    <t xml:space="preserve">Fixed rate — 0.50%</t>
  </si>
  <si>
    <t xml:space="preserve">Platform Fee Revenue per Asset</t>
  </si>
  <si>
    <t xml:space="preserve">Fixed USD 5,000 per listed asset p.a.</t>
  </si>
  <si>
    <t xml:space="preserve">Blended Revenue per New Investor</t>
  </si>
  <si>
    <t xml:space="preserve">Trading fee revenue per registered investor</t>
  </si>
  <si>
    <t xml:space="preserve">Customer Acquisition Cost (est.)</t>
  </si>
  <si>
    <t xml:space="preserve">Marketing spend / new investors</t>
  </si>
  <si>
    <t xml:space="preserve">TOKENEQUITYX — VISUAL SUMMARY</t>
  </si>
  <si>
    <t xml:space="preserve">CHART DATA</t>
  </si>
  <si>
    <t xml:space="preserve">Net Profit</t>
  </si>
  <si>
    <t xml:space="preserve">Trading Fees</t>
  </si>
  <si>
    <t xml:space="preserve">Platform Fees</t>
  </si>
  <si>
    <t xml:space="preserve">White-Label</t>
  </si>
  <si>
    <t xml:space="preserve">TOKENEQUITYX — BALANCE SHEET</t>
  </si>
  <si>
    <t xml:space="preserve">Simplified balance sheet linking from Cash Flow and P&amp;L. All USD.</t>
  </si>
  <si>
    <t xml:space="preserve">BALANCE SHEET (USD)</t>
  </si>
  <si>
    <t xml:space="preserve">ASSETS</t>
  </si>
  <si>
    <t xml:space="preserve">  Cash &amp; Cash Equivalents</t>
  </si>
  <si>
    <t xml:space="preserve">  Trade Receivables</t>
  </si>
  <si>
    <t xml:space="preserve">  Other Current Assets</t>
  </si>
  <si>
    <t xml:space="preserve">Total Current Assets</t>
  </si>
  <si>
    <t xml:space="preserve">  Intangible Assets (Net)</t>
  </si>
  <si>
    <t xml:space="preserve">  Capitalised Software</t>
  </si>
  <si>
    <t xml:space="preserve">Total Non-Current Assets</t>
  </si>
  <si>
    <t xml:space="preserve">TOTAL ASSETS</t>
  </si>
  <si>
    <t xml:space="preserve">LIABILITIES &amp; EQUITY</t>
  </si>
  <si>
    <t xml:space="preserve">  Trade &amp; Other Payables</t>
  </si>
  <si>
    <t xml:space="preserve">  Tax Payable</t>
  </si>
  <si>
    <t xml:space="preserve">Total Current Liabilities</t>
  </si>
  <si>
    <t xml:space="preserve">  Share Capital</t>
  </si>
  <si>
    <t xml:space="preserve">  Retained Earnings</t>
  </si>
  <si>
    <t xml:space="preserve">  Equity Capital Raised</t>
  </si>
  <si>
    <t xml:space="preserve">Total Equity</t>
  </si>
  <si>
    <t xml:space="preserve">TOTAL LIABILITIES &amp; EQUITY</t>
  </si>
  <si>
    <t xml:space="preserve">  BALANCE CHECK (Assets - Liab&amp;Eq)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</si>
</sst>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\$#,##0.000"/>
    <numFmt numFmtId="168" formatCode="\$#,##0;&quot;($&quot;#,##0\);\-"/>
    <numFmt numFmtId="169" formatCode="0.0\x"/>
    <numFmt numFmtId="170" formatCode="0.00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6"/>
      <color rgb="FFC8972B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1A1A2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9"/>
      <color rgb="FF1A1A2E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7F1D1D"/>
      <name val="Arial"/>
      <family val="0"/>
      <charset val="1"/>
    </font>
    <font>
      <sz val="9"/>
      <color rgb="FF1A3C5E"/>
      <name val="Arial"/>
      <family val="0"/>
      <charset val="1"/>
    </font>
    <font>
      <sz val="9"/>
      <color rgb="FF1A5C38"/>
      <name val="Arial"/>
      <family val="0"/>
      <charset val="1"/>
    </font>
    <font>
      <b val="true"/>
      <i val="true"/>
      <sz val="9"/>
      <color rgb="FF1A3C5E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A3C5E"/>
        <bgColor rgb="FF1A5C38"/>
      </patternFill>
    </fill>
    <fill>
      <patternFill patternType="solid">
        <fgColor rgb="FFC8972B"/>
        <bgColor rgb="FFCC7C3A"/>
      </patternFill>
    </fill>
    <fill>
      <patternFill patternType="solid">
        <fgColor rgb="FFF5F7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DF3E3"/>
        <bgColor rgb="FFF9F9F9"/>
      </patternFill>
    </fill>
    <fill>
      <patternFill patternType="solid">
        <fgColor rgb="FFEAF2FB"/>
        <bgColor rgb="FFF5F7FA"/>
      </patternFill>
    </fill>
    <fill>
      <patternFill patternType="solid">
        <fgColor rgb="FF7F1D1D"/>
        <bgColor rgb="FF800000"/>
      </patternFill>
    </fill>
    <fill>
      <patternFill patternType="solid">
        <fgColor rgb="FF1A5C38"/>
        <bgColor rgb="FF1A3C5E"/>
      </patternFill>
    </fill>
    <fill>
      <patternFill patternType="solid">
        <fgColor rgb="FF6B7280"/>
        <bgColor rgb="FF8064A2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0D7E0"/>
      </left>
      <right style="thin">
        <color rgb="FFD0D7E0"/>
      </right>
      <top style="thin">
        <color rgb="FFD0D7E0"/>
      </top>
      <bottom style="thin">
        <color rgb="FFD0D7E0"/>
      </bottom>
      <diagonal/>
    </border>
    <border diagonalUp="false" diagonalDown="false">
      <left style="thin">
        <color rgb="FFD0D7E0"/>
      </left>
      <right/>
      <top style="thin">
        <color rgb="FFD0D7E0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C8972B"/>
      </left>
      <right style="thin">
        <color rgb="FFC8972B"/>
      </right>
      <top style="thin">
        <color rgb="FFC8972B"/>
      </top>
      <bottom style="thin">
        <color rgb="FFC8972B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1A3C5E"/>
      </bottom>
      <diagonal/>
    </border>
    <border diagonalUp="false" diagonalDown="false">
      <left style="medium">
        <color rgb="FFC8972B"/>
      </left>
      <right style="medium">
        <color rgb="FFC8972B"/>
      </right>
      <top style="medium">
        <color rgb="FFC8972B"/>
      </top>
      <bottom style="medium">
        <color rgb="FFC897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0" fillId="6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2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8972B"/>
      <rgbColor rgb="FF800080"/>
      <rgbColor rgb="FF4F81BD"/>
      <rgbColor rgb="FFCCCCCC"/>
      <rgbColor rgb="FF878787"/>
      <rgbColor rgb="FF8064A2"/>
      <rgbColor rgb="FF9F423F"/>
      <rgbColor rgb="FFFDF3E3"/>
      <rgbColor rgb="FFEAF2FB"/>
      <rgbColor rgb="FF660066"/>
      <rgbColor rgb="FFCC7C3A"/>
      <rgbColor rgb="FF416A9C"/>
      <rgbColor rgb="FFD0D7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46AAC4"/>
      <rgbColor rgb="FFF5F7FA"/>
      <rgbColor rgb="FFF9F9F9"/>
      <rgbColor rgb="FFC5D6AC"/>
      <rgbColor rgb="FFAABAD7"/>
      <rgbColor rgb="FFD8AAA9"/>
      <rgbColor rgb="FF7D5FA0"/>
      <rgbColor rgb="FFD9D9D9"/>
      <rgbColor rgb="FF4A7EBB"/>
      <rgbColor rgb="FF4BACC6"/>
      <rgbColor rgb="FF98B855"/>
      <rgbColor rgb="FF9BBB59"/>
      <rgbColor rgb="FFF79646"/>
      <rgbColor rgb="FFC0504D"/>
      <rgbColor rgb="FF6B7280"/>
      <rgbColor rgb="FF809B49"/>
      <rgbColor rgb="FF1A3C5E"/>
      <rgbColor rgb="FF3E8EA4"/>
      <rgbColor rgb="FF003300"/>
      <rgbColor rgb="FF1A5C38"/>
      <rgbColor rgb="FF7F1D1D"/>
      <rgbColor rgb="FFBE4B48"/>
      <rgbColor rgb="FF6A5286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Revenue, EBITDA &amp; Net Profit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16a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CHARTS!$C$5</c:f>
              <c:numCache>
                <c:formatCode>\$#,##0;"($"#,##0\);\-</c:formatCode>
                <c:ptCount val="1"/>
                <c:pt idx="0">
                  <c:v>122500</c:v>
                </c:pt>
              </c:numCache>
            </c:numRef>
          </c:val>
        </c:ser>
        <c:ser>
          <c:idx val="1"/>
          <c:order val="1"/>
          <c:spPr>
            <a:solidFill>
              <a:srgbClr val="9f423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CHARTS!$D$5</c:f>
              <c:numCache>
                <c:formatCode>\$#,##0;"($"#,##0\);\-</c:formatCode>
                <c:ptCount val="1"/>
                <c:pt idx="0">
                  <c:v>488750</c:v>
                </c:pt>
              </c:numCache>
            </c:numRef>
          </c:val>
        </c:ser>
        <c:ser>
          <c:idx val="2"/>
          <c:order val="2"/>
          <c:spPr>
            <a:solidFill>
              <a:srgbClr val="809b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CHARTS!$E$5</c:f>
              <c:numCache>
                <c:formatCode>\$#,##0;"($"#,##0\);\-</c:formatCode>
                <c:ptCount val="1"/>
                <c:pt idx="0">
                  <c:v>1245000</c:v>
                </c:pt>
              </c:numCache>
            </c:numRef>
          </c:val>
        </c:ser>
        <c:ser>
          <c:idx val="3"/>
          <c:order val="3"/>
          <c:spPr>
            <a:solidFill>
              <a:srgbClr val="6a528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CHARTS!$F$5</c:f>
              <c:numCache>
                <c:formatCode>\$#,##0;"($"#,##0\);\-</c:formatCode>
                <c:ptCount val="1"/>
                <c:pt idx="0">
                  <c:v>2896250</c:v>
                </c:pt>
              </c:numCache>
            </c:numRef>
          </c:val>
        </c:ser>
        <c:ser>
          <c:idx val="4"/>
          <c:order val="4"/>
          <c:spPr>
            <a:solidFill>
              <a:srgbClr val="3e8ea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CHARTS!$G$5</c:f>
              <c:numCache>
                <c:formatCode>\$#,##0;"($"#,##0\);\-</c:formatCode>
                <c:ptCount val="1"/>
                <c:pt idx="0">
                  <c:v>6687500</c:v>
                </c:pt>
              </c:numCache>
            </c:numRef>
          </c:val>
        </c:ser>
        <c:ser>
          <c:idx val="5"/>
          <c:order val="5"/>
          <c:spPr>
            <a:solidFill>
              <a:srgbClr val="cc7c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CHARTS!$C$6</c:f>
              <c:numCache>
                <c:formatCode>\$#,##0;"($"#,##0\);\-</c:formatCode>
                <c:ptCount val="1"/>
                <c:pt idx="0">
                  <c:v>-19450</c:v>
                </c:pt>
              </c:numCache>
            </c:numRef>
          </c:val>
        </c:ser>
        <c:ser>
          <c:idx val="6"/>
          <c:order val="6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CHARTS!$D$6</c:f>
              <c:numCache>
                <c:formatCode>\$#,##0;"($"#,##0\);\-</c:formatCode>
                <c:ptCount val="1"/>
                <c:pt idx="0">
                  <c:v>95820</c:v>
                </c:pt>
              </c:numCache>
            </c:numRef>
          </c:val>
        </c:ser>
        <c:ser>
          <c:idx val="7"/>
          <c:order val="7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CHARTS!$E$6</c:f>
              <c:numCache>
                <c:formatCode>\$#,##0;"($"#,##0\);\-</c:formatCode>
                <c:ptCount val="1"/>
                <c:pt idx="0">
                  <c:v>738811</c:v>
                </c:pt>
              </c:numCache>
            </c:numRef>
          </c:val>
        </c:ser>
        <c:ser>
          <c:idx val="8"/>
          <c:order val="8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CHARTS!$F$6</c:f>
              <c:numCache>
                <c:formatCode>\$#,##0;"($"#,##0\);\-</c:formatCode>
                <c:ptCount val="1"/>
                <c:pt idx="0">
                  <c:v>2235294.8</c:v>
                </c:pt>
              </c:numCache>
            </c:numRef>
          </c:val>
        </c:ser>
        <c:ser>
          <c:idx val="9"/>
          <c:order val="9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CHARTS!$G$6</c:f>
              <c:numCache>
                <c:formatCode>\$#,##0;"($"#,##0\);\-</c:formatCode>
                <c:ptCount val="1"/>
                <c:pt idx="0">
                  <c:v>5767937.215</c:v>
                </c:pt>
              </c:numCache>
            </c:numRef>
          </c:val>
        </c:ser>
        <c:ser>
          <c:idx val="10"/>
          <c:order val="10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CHARTS!$C$7</c:f>
              <c:numCache>
                <c:formatCode>\$#,##0;"($"#,##0\);\-</c:formatCode>
                <c:ptCount val="1"/>
                <c:pt idx="0">
                  <c:v>-19450</c:v>
                </c:pt>
              </c:numCache>
            </c:numRef>
          </c:val>
        </c:ser>
        <c:ser>
          <c:idx val="11"/>
          <c:order val="11"/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CHARTS!$D$7</c:f>
              <c:numCache>
                <c:formatCode>\$#,##0;"($"#,##0\);\-</c:formatCode>
                <c:ptCount val="1"/>
                <c:pt idx="0">
                  <c:v>69773.625</c:v>
                </c:pt>
              </c:numCache>
            </c:numRef>
          </c:val>
        </c:ser>
        <c:ser>
          <c:idx val="12"/>
          <c:order val="12"/>
          <c:spPr>
            <a:solidFill>
              <a:srgbClr val="aabad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CHARTS!$E$7</c:f>
              <c:numCache>
                <c:formatCode>\$#,##0;"($"#,##0\);\-</c:formatCode>
                <c:ptCount val="1"/>
                <c:pt idx="0">
                  <c:v>547666.95</c:v>
                </c:pt>
              </c:numCache>
            </c:numRef>
          </c:val>
        </c:ser>
        <c:ser>
          <c:idx val="13"/>
          <c:order val="13"/>
          <c:spPr>
            <a:solidFill>
              <a:srgbClr val="d8aa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CHARTS!$F$7</c:f>
              <c:numCache>
                <c:formatCode>\$#,##0;"($"#,##0\);\-</c:formatCode>
                <c:ptCount val="1"/>
                <c:pt idx="0">
                  <c:v>1668478.335</c:v>
                </c:pt>
              </c:numCache>
            </c:numRef>
          </c:val>
        </c:ser>
        <c:ser>
          <c:idx val="14"/>
          <c:order val="14"/>
          <c:spPr>
            <a:solidFill>
              <a:srgbClr val="c5d6a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CHARTS!$G$7</c:f>
              <c:numCache>
                <c:formatCode>\$#,##0;"($"#,##0\);\-</c:formatCode>
                <c:ptCount val="1"/>
                <c:pt idx="0">
                  <c:v>4315928.1105</c:v>
                </c:pt>
              </c:numCache>
            </c:numRef>
          </c:val>
        </c:ser>
        <c:gapWidth val="150"/>
        <c:overlap val="0"/>
        <c:axId val="1765969"/>
        <c:axId val="55600165"/>
      </c:barChart>
      <c:catAx>
        <c:axId val="1765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600165"/>
        <c:crosses val="autoZero"/>
        <c:auto val="1"/>
        <c:lblAlgn val="ctr"/>
        <c:lblOffset val="100"/>
        <c:noMultiLvlLbl val="0"/>
      </c:catAx>
      <c:valAx>
        <c:axId val="55600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5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Mix by Stream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416a9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CHARTS!$C$8</c:f>
              <c:numCache>
                <c:formatCode>\$#,##0;"($"#,##0\);\-</c:formatCode>
                <c:ptCount val="1"/>
                <c:pt idx="0">
                  <c:v>15000</c:v>
                </c:pt>
              </c:numCache>
            </c:numRef>
          </c:val>
        </c:ser>
        <c:ser>
          <c:idx val="1"/>
          <c:order val="1"/>
          <c:spPr>
            <a:solidFill>
              <a:srgbClr val="9f423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CHARTS!$D$8</c:f>
              <c:numCache>
                <c:formatCode>\$#,##0;"($"#,##0\);\-</c:formatCode>
                <c:ptCount val="1"/>
                <c:pt idx="0">
                  <c:v>90000</c:v>
                </c:pt>
              </c:numCache>
            </c:numRef>
          </c:val>
        </c:ser>
        <c:ser>
          <c:idx val="2"/>
          <c:order val="2"/>
          <c:spPr>
            <a:solidFill>
              <a:srgbClr val="809b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CHARTS!$E$8</c:f>
              <c:numCache>
                <c:formatCode>\$#,##0;"($"#,##0\);\-</c:formatCode>
                <c:ptCount val="1"/>
                <c:pt idx="0">
                  <c:v>360000</c:v>
                </c:pt>
              </c:numCache>
            </c:numRef>
          </c:val>
        </c:ser>
        <c:ser>
          <c:idx val="3"/>
          <c:order val="3"/>
          <c:spPr>
            <a:solidFill>
              <a:srgbClr val="6a528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CHARTS!$F$8</c:f>
              <c:numCache>
                <c:formatCode>\$#,##0;"($"#,##0\);\-</c:formatCode>
                <c:ptCount val="1"/>
                <c:pt idx="0">
                  <c:v>1200000</c:v>
                </c:pt>
              </c:numCache>
            </c:numRef>
          </c:val>
        </c:ser>
        <c:ser>
          <c:idx val="4"/>
          <c:order val="4"/>
          <c:spPr>
            <a:solidFill>
              <a:srgbClr val="3e8ea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CHARTS!$G$8</c:f>
              <c:numCache>
                <c:formatCode>\$#,##0;"($"#,##0\);\-</c:formatCode>
                <c:ptCount val="1"/>
                <c:pt idx="0">
                  <c:v>3600000</c:v>
                </c:pt>
              </c:numCache>
            </c:numRef>
          </c:val>
        </c:ser>
        <c:ser>
          <c:idx val="5"/>
          <c:order val="5"/>
          <c:spPr>
            <a:solidFill>
              <a:srgbClr val="cc7c3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CHARTS!$C$9</c:f>
              <c:numCache>
                <c:formatCode>\$#,##0;"($"#,##0\);\-</c:formatCode>
                <c:ptCount val="1"/>
                <c:pt idx="0">
                  <c:v>50000</c:v>
                </c:pt>
              </c:numCache>
            </c:numRef>
          </c:val>
        </c:ser>
        <c:ser>
          <c:idx val="6"/>
          <c:order val="6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CHARTS!$D$9</c:f>
              <c:numCache>
                <c:formatCode>\$#,##0;"($"#,##0\);\-</c:formatCode>
                <c:ptCount val="1"/>
                <c:pt idx="0">
                  <c:v>125000</c:v>
                </c:pt>
              </c:numCache>
            </c:numRef>
          </c:val>
        </c:ser>
        <c:ser>
          <c:idx val="7"/>
          <c:order val="7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CHARTS!$E$9</c:f>
              <c:numCache>
                <c:formatCode>\$#,##0;"($"#,##0\);\-</c:formatCode>
                <c:ptCount val="1"/>
                <c:pt idx="0">
                  <c:v>225000</c:v>
                </c:pt>
              </c:numCache>
            </c:numRef>
          </c:val>
        </c:ser>
        <c:ser>
          <c:idx val="8"/>
          <c:order val="8"/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CHARTS!$F$9</c:f>
              <c:numCache>
                <c:formatCode>\$#,##0;"($"#,##0\);\-</c:formatCode>
                <c:ptCount val="1"/>
                <c:pt idx="0">
                  <c:v>350000</c:v>
                </c:pt>
              </c:numCache>
            </c:numRef>
          </c:val>
        </c:ser>
        <c:ser>
          <c:idx val="9"/>
          <c:order val="9"/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CHARTS!$G$9</c:f>
              <c:numCache>
                <c:formatCode>\$#,##0;"($"#,##0\);\-</c:formatCode>
                <c:ptCount val="1"/>
                <c:pt idx="0">
                  <c:v>500000</c:v>
                </c:pt>
              </c:numCache>
            </c:numRef>
          </c:val>
        </c:ser>
        <c:ser>
          <c:idx val="10"/>
          <c:order val="10"/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CHARTS!$C$10</c:f>
              <c:numCache>
                <c:formatCode>\$#,##0;"($"#,##0\);\-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CHARTS!$D$10</c:f>
              <c:numCache>
                <c:formatCode>\$#,##0;"($"#,##0\);\-</c:formatCode>
                <c:ptCount val="1"/>
                <c:pt idx="0">
                  <c:v>100000</c:v>
                </c:pt>
              </c:numCache>
            </c:numRef>
          </c:val>
        </c:ser>
        <c:ser>
          <c:idx val="12"/>
          <c:order val="12"/>
          <c:spPr>
            <a:solidFill>
              <a:srgbClr val="aabad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CHARTS!$E$10</c:f>
              <c:numCache>
                <c:formatCode>\$#,##0;"($"#,##0\);\-</c:formatCode>
                <c:ptCount val="1"/>
                <c:pt idx="0">
                  <c:v>250000</c:v>
                </c:pt>
              </c:numCache>
            </c:numRef>
          </c:val>
        </c:ser>
        <c:ser>
          <c:idx val="13"/>
          <c:order val="13"/>
          <c:spPr>
            <a:solidFill>
              <a:srgbClr val="d8aa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CHARTS!$F$10</c:f>
              <c:numCache>
                <c:formatCode>\$#,##0;"($"#,##0\);\-</c:formatCode>
                <c:ptCount val="1"/>
                <c:pt idx="0">
                  <c:v>500000</c:v>
                </c:pt>
              </c:numCache>
            </c:numRef>
          </c:val>
        </c:ser>
        <c:ser>
          <c:idx val="14"/>
          <c:order val="14"/>
          <c:spPr>
            <a:solidFill>
              <a:srgbClr val="c5d6a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CHARTS!$C$4:$G$4</c:f>
              <c:strCache>
                <c:ptCount val="5"/>
                <c:pt idx="0">
                  <c:v>2026A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CHARTS!$G$10</c:f>
              <c:numCache>
                <c:formatCode>\$#,##0;"($"#,##0\);\-</c:formatCode>
                <c:ptCount val="1"/>
                <c:pt idx="0">
                  <c:v>900000</c:v>
                </c:pt>
              </c:numCache>
            </c:numRef>
          </c:val>
        </c:ser>
        <c:gapWidth val="150"/>
        <c:overlap val="100"/>
        <c:axId val="46199327"/>
        <c:axId val="51011222"/>
      </c:barChart>
      <c:catAx>
        <c:axId val="46199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11222"/>
        <c:crosses val="autoZero"/>
        <c:auto val="1"/>
        <c:lblAlgn val="ctr"/>
        <c:lblOffset val="100"/>
        <c:noMultiLvlLbl val="0"/>
      </c:catAx>
      <c:valAx>
        <c:axId val="510112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99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Closing Cash Balance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CHARTS!C11</c:f>
              <c:strCache>
                <c:ptCount val="1"/>
                <c:pt idx="0">
                  <c:v>$221,950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CHARTS!$C$4:$G$4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2026A</c:v>
                  </c:pt>
                </c:lvl>
              </c:multiLvlStrCache>
            </c:multiLvlStrRef>
          </c:cat>
          <c:val>
            <c:numRef>
              <c:f>CHARTS!$C$12</c:f>
              <c:numCache>
                <c:formatCode>\$#,##0;"($"#,##0\);\-</c:formatCode>
                <c:ptCount val="1"/>
                <c:pt idx="0">
                  <c:v>115550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CHARTS!D11</c:f>
              <c:strCache>
                <c:ptCount val="1"/>
                <c:pt idx="0">
                  <c:v>$395,719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CHARTS!$C$4:$G$4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2026A</c:v>
                  </c:pt>
                </c:lvl>
              </c:multiLvlStrCache>
            </c:multiLvlStrRef>
          </c:cat>
          <c:val>
            <c:numRef>
              <c:f>CHARTS!$D$12</c:f>
              <c:numCache>
                <c:formatCode>\$#,##0;"($"#,##0\);\-</c:formatCode>
                <c:ptCount val="1"/>
                <c:pt idx="0">
                  <c:v>148562.125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CHARTS!E11</c:f>
              <c:strCache>
                <c:ptCount val="1"/>
                <c:pt idx="0">
                  <c:v>$514,777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CHARTS!$C$4:$G$4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2026A</c:v>
                  </c:pt>
                </c:lvl>
              </c:multiLvlStrCache>
            </c:multiLvlStrRef>
          </c:cat>
          <c:val>
            <c:numRef>
              <c:f>CHARTS!$E$12</c:f>
              <c:numCache>
                <c:formatCode>\$#,##0;"($"#,##0\);\-</c:formatCode>
                <c:ptCount val="1"/>
                <c:pt idx="0">
                  <c:v>630017.475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CHARTS!F11</c:f>
              <c:strCache>
                <c:ptCount val="1"/>
                <c:pt idx="0">
                  <c:v>$671,612</c:v>
                </c:pt>
              </c:strCache>
            </c:strRef>
          </c:tx>
          <c:spPr>
            <a:solidFill>
              <a:srgbClr val="7d5fa0"/>
            </a:solidFill>
            <a:ln w="4752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CHARTS!$C$4:$G$4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2026A</c:v>
                  </c:pt>
                </c:lvl>
              </c:multiLvlStrCache>
            </c:multiLvlStrRef>
          </c:cat>
          <c:val>
            <c:numRef>
              <c:f>CHARTS!$F$12</c:f>
              <c:numCache>
                <c:formatCode>\$#,##0;"($"#,##0\);\-</c:formatCode>
                <c:ptCount val="1"/>
                <c:pt idx="0">
                  <c:v>2158302.83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CHARTS!G11</c:f>
              <c:strCache>
                <c:ptCount val="1"/>
                <c:pt idx="0">
                  <c:v>$932,929</c:v>
                </c:pt>
              </c:strCache>
            </c:strRef>
          </c:tx>
          <c:spPr>
            <a:solidFill>
              <a:srgbClr val="46aac4"/>
            </a:solidFill>
            <a:ln w="4752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CHARTS!$C$4:$G$4</c:f>
              <c:multiLvlStrCache>
                <c:ptCount val="1"/>
                <c:lvl>
                  <c:pt idx="0">
                    <c:v>2030E</c:v>
                  </c:pt>
                </c:lvl>
                <c:lvl>
                  <c:pt idx="0">
                    <c:v>2029E</c:v>
                  </c:pt>
                </c:lvl>
                <c:lvl>
                  <c:pt idx="0">
                    <c:v>2028E</c:v>
                  </c:pt>
                </c:lvl>
                <c:lvl>
                  <c:pt idx="0">
                    <c:v>2027E</c:v>
                  </c:pt>
                </c:lvl>
                <c:lvl>
                  <c:pt idx="0">
                    <c:v>2026A</c:v>
                  </c:pt>
                </c:lvl>
              </c:multiLvlStrCache>
            </c:multiLvlStrRef>
          </c:cat>
          <c:val>
            <c:numRef>
              <c:f>CHARTS!$G$12</c:f>
              <c:numCache>
                <c:formatCode>\$#,##0;"($"#,##0\);\-</c:formatCode>
                <c:ptCount val="1"/>
                <c:pt idx="0">
                  <c:v>6170097.3415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889239"/>
        <c:axId val="85333934"/>
      </c:lineChart>
      <c:catAx>
        <c:axId val="418892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33934"/>
        <c:crosses val="autoZero"/>
        <c:auto val="1"/>
        <c:lblAlgn val="ctr"/>
        <c:lblOffset val="100"/>
        <c:noMultiLvlLbl val="0"/>
      </c:catAx>
      <c:valAx>
        <c:axId val="853339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88923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10</xdr:col>
      <xdr:colOff>36000</xdr:colOff>
      <xdr:row>34</xdr:row>
      <xdr:rowOff>148680</xdr:rowOff>
    </xdr:to>
    <xdr:graphicFrame>
      <xdr:nvGraphicFramePr>
        <xdr:cNvPr id="0" name="Chart 1"/>
        <xdr:cNvGraphicFramePr/>
      </xdr:nvGraphicFramePr>
      <xdr:xfrm>
        <a:off x="211320" y="291456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363960</xdr:colOff>
      <xdr:row>34</xdr:row>
      <xdr:rowOff>148680</xdr:rowOff>
    </xdr:to>
    <xdr:graphicFrame>
      <xdr:nvGraphicFramePr>
        <xdr:cNvPr id="1" name="Chart 2"/>
        <xdr:cNvGraphicFramePr/>
      </xdr:nvGraphicFramePr>
      <xdr:xfrm>
        <a:off x="6654240" y="291456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10</xdr:col>
      <xdr:colOff>36000</xdr:colOff>
      <xdr:row>55</xdr:row>
      <xdr:rowOff>149040</xdr:rowOff>
    </xdr:to>
    <xdr:graphicFrame>
      <xdr:nvGraphicFramePr>
        <xdr:cNvPr id="2" name="Chart 3"/>
        <xdr:cNvGraphicFramePr/>
      </xdr:nvGraphicFramePr>
      <xdr:xfrm>
        <a:off x="211320" y="691524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3" min="3" style="1" width="35"/>
    <col collapsed="false" customWidth="true" hidden="false" outlineLevel="0" max="4" min="4" style="1" width="25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36" hidden="false" customHeight="true" outlineLevel="0" collapsed="false">
      <c r="B2" s="3" t="s">
        <v>0</v>
      </c>
      <c r="C2" s="3"/>
      <c r="D2" s="3"/>
      <c r="E2" s="3"/>
      <c r="F2" s="3"/>
      <c r="G2" s="3"/>
    </row>
    <row r="3" customFormat="false" ht="25.5" hidden="false" customHeight="true" outlineLevel="0" collapsed="false">
      <c r="B3" s="4" t="s">
        <v>1</v>
      </c>
      <c r="C3" s="4"/>
      <c r="D3" s="4"/>
      <c r="E3" s="4"/>
      <c r="F3" s="4"/>
      <c r="G3" s="4"/>
    </row>
    <row r="4" customFormat="false" ht="19.5" hidden="false" customHeight="true" outlineLevel="0" collapsed="false">
      <c r="B4" s="5" t="s">
        <v>2</v>
      </c>
      <c r="C4" s="5"/>
      <c r="D4" s="5"/>
      <c r="E4" s="5"/>
      <c r="F4" s="5"/>
      <c r="G4" s="5"/>
    </row>
    <row r="5" customFormat="false" ht="3.7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</row>
    <row r="7" customFormat="false" ht="18" hidden="false" customHeight="true" outlineLevel="0" collapsed="false">
      <c r="B7" s="7" t="s">
        <v>3</v>
      </c>
      <c r="C7" s="7"/>
      <c r="D7" s="2"/>
    </row>
    <row r="8" customFormat="false" ht="15.75" hidden="false" customHeight="true" outlineLevel="0" collapsed="false">
      <c r="B8" s="8" t="s">
        <v>4</v>
      </c>
      <c r="C8" s="9" t="s">
        <v>5</v>
      </c>
    </row>
    <row r="9" customFormat="false" ht="15.75" hidden="false" customHeight="true" outlineLevel="0" collapsed="false">
      <c r="B9" s="8" t="s">
        <v>6</v>
      </c>
      <c r="C9" s="9" t="s">
        <v>7</v>
      </c>
    </row>
    <row r="10" customFormat="false" ht="15.75" hidden="false" customHeight="true" outlineLevel="0" collapsed="false">
      <c r="B10" s="8" t="s">
        <v>8</v>
      </c>
      <c r="C10" s="9" t="s">
        <v>9</v>
      </c>
    </row>
    <row r="11" customFormat="false" ht="15.75" hidden="false" customHeight="true" outlineLevel="0" collapsed="false">
      <c r="B11" s="8" t="s">
        <v>10</v>
      </c>
      <c r="C11" s="9" t="s">
        <v>11</v>
      </c>
    </row>
    <row r="12" customFormat="false" ht="15.75" hidden="false" customHeight="true" outlineLevel="0" collapsed="false">
      <c r="B12" s="8" t="s">
        <v>12</v>
      </c>
      <c r="C12" s="9" t="s">
        <v>13</v>
      </c>
    </row>
    <row r="13" customFormat="false" ht="15.75" hidden="false" customHeight="true" outlineLevel="0" collapsed="false">
      <c r="B13" s="8" t="s">
        <v>14</v>
      </c>
      <c r="C13" s="9" t="s">
        <v>15</v>
      </c>
    </row>
    <row r="14" customFormat="false" ht="15.75" hidden="false" customHeight="true" outlineLevel="0" collapsed="false">
      <c r="B14" s="8" t="s">
        <v>16</v>
      </c>
      <c r="C14" s="9" t="s">
        <v>17</v>
      </c>
    </row>
    <row r="15" customFormat="false" ht="15.75" hidden="false" customHeight="true" outlineLevel="0" collapsed="false">
      <c r="B15" s="8" t="s">
        <v>18</v>
      </c>
      <c r="C15" s="9" t="s">
        <v>19</v>
      </c>
    </row>
    <row r="17" customFormat="false" ht="18" hidden="false" customHeight="true" outlineLevel="0" collapsed="false">
      <c r="B17" s="7" t="s">
        <v>20</v>
      </c>
      <c r="C17" s="7"/>
      <c r="D17" s="7"/>
    </row>
    <row r="18" customFormat="false" ht="15.75" hidden="false" customHeight="true" outlineLevel="0" collapsed="false">
      <c r="B18" s="10" t="s">
        <v>21</v>
      </c>
      <c r="C18" s="11" t="s">
        <v>22</v>
      </c>
    </row>
    <row r="19" customFormat="false" ht="15.75" hidden="false" customHeight="true" outlineLevel="0" collapsed="false">
      <c r="B19" s="12" t="s">
        <v>23</v>
      </c>
      <c r="C19" s="11" t="s">
        <v>24</v>
      </c>
    </row>
    <row r="20" customFormat="false" ht="15.75" hidden="false" customHeight="true" outlineLevel="0" collapsed="false">
      <c r="B20" s="13" t="s">
        <v>25</v>
      </c>
      <c r="C20" s="11" t="s">
        <v>26</v>
      </c>
    </row>
    <row r="21" customFormat="false" ht="15.75" hidden="false" customHeight="true" outlineLevel="0" collapsed="false">
      <c r="B21" s="14" t="s">
        <v>27</v>
      </c>
      <c r="C21" s="11" t="s">
        <v>28</v>
      </c>
    </row>
    <row r="23" customFormat="false" ht="18" hidden="false" customHeight="true" outlineLevel="0" collapsed="false">
      <c r="B23" s="7" t="s">
        <v>29</v>
      </c>
      <c r="C23" s="7"/>
      <c r="D23" s="7"/>
    </row>
    <row r="24" customFormat="false" ht="15" hidden="false" customHeight="true" outlineLevel="0" collapsed="false">
      <c r="B24" s="14" t="s">
        <v>30</v>
      </c>
      <c r="C24" s="15" t="s">
        <v>31</v>
      </c>
    </row>
    <row r="25" customFormat="false" ht="15" hidden="false" customHeight="true" outlineLevel="0" collapsed="false">
      <c r="B25" s="14" t="s">
        <v>32</v>
      </c>
      <c r="C25" s="15" t="s">
        <v>33</v>
      </c>
    </row>
    <row r="26" customFormat="false" ht="15" hidden="false" customHeight="true" outlineLevel="0" collapsed="false">
      <c r="B26" s="14" t="s">
        <v>34</v>
      </c>
      <c r="C26" s="15" t="s">
        <v>35</v>
      </c>
    </row>
    <row r="27" customFormat="false" ht="15" hidden="false" customHeight="true" outlineLevel="0" collapsed="false">
      <c r="B27" s="14" t="s">
        <v>36</v>
      </c>
      <c r="C27" s="15" t="s">
        <v>37</v>
      </c>
    </row>
    <row r="28" customFormat="false" ht="15" hidden="false" customHeight="true" outlineLevel="0" collapsed="false">
      <c r="B28" s="14" t="s">
        <v>38</v>
      </c>
      <c r="C28" s="15" t="s">
        <v>39</v>
      </c>
    </row>
    <row r="29" customFormat="false" ht="15" hidden="false" customHeight="true" outlineLevel="0" collapsed="false">
      <c r="B29" s="14" t="s">
        <v>40</v>
      </c>
      <c r="C29" s="15" t="s">
        <v>41</v>
      </c>
    </row>
    <row r="30" customFormat="false" ht="15" hidden="false" customHeight="true" outlineLevel="0" collapsed="false">
      <c r="B30" s="14" t="s">
        <v>42</v>
      </c>
      <c r="C30" s="15" t="s">
        <v>43</v>
      </c>
    </row>
    <row r="31" customFormat="false" ht="15" hidden="false" customHeight="true" outlineLevel="0" collapsed="false">
      <c r="B31" s="14" t="s">
        <v>44</v>
      </c>
      <c r="C31" s="15" t="s">
        <v>45</v>
      </c>
    </row>
    <row r="32" customFormat="false" ht="15" hidden="false" customHeight="true" outlineLevel="0" collapsed="false">
      <c r="B32" s="14" t="s">
        <v>46</v>
      </c>
      <c r="C32" s="15" t="s">
        <v>47</v>
      </c>
    </row>
    <row r="33" customFormat="false" ht="15" hidden="false" customHeight="true" outlineLevel="0" collapsed="false">
      <c r="B33" s="14" t="s">
        <v>48</v>
      </c>
      <c r="C33" s="15" t="s">
        <v>49</v>
      </c>
    </row>
    <row r="36" customFormat="false" ht="15" hidden="false" customHeight="true" outlineLevel="0" collapsed="false">
      <c r="B36" s="16" t="s">
        <v>50</v>
      </c>
      <c r="C36" s="16"/>
      <c r="D36" s="16"/>
    </row>
    <row r="37" customFormat="false" ht="15" hidden="false" customHeight="true" outlineLevel="0" collapsed="false">
      <c r="B37" s="16"/>
      <c r="C37" s="16"/>
      <c r="D37" s="16"/>
    </row>
    <row r="38" customFormat="false" ht="15" hidden="false" customHeight="true" outlineLevel="0" collapsed="false">
      <c r="B38" s="16"/>
      <c r="C38" s="16"/>
      <c r="D38" s="16"/>
    </row>
  </sheetData>
  <mergeCells count="7">
    <mergeCell ref="B2:G2"/>
    <mergeCell ref="B3:G3"/>
    <mergeCell ref="B4:G4"/>
    <mergeCell ref="B7:C7"/>
    <mergeCell ref="B17:D17"/>
    <mergeCell ref="B23:D23"/>
    <mergeCell ref="B36:D38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8"/>
    <col collapsed="false" customWidth="true" hidden="false" outlineLevel="0" max="5" min="5" style="1" width="20"/>
    <col collapsed="false" customWidth="true" hidden="false" outlineLevel="0" max="6" min="6" style="1" width="28"/>
  </cols>
  <sheetData>
    <row r="1" customFormat="false" ht="27.75" hidden="false" customHeight="true" outlineLevel="0" collapsed="false">
      <c r="B1" s="17" t="s">
        <v>51</v>
      </c>
      <c r="C1" s="17"/>
      <c r="D1" s="17"/>
      <c r="E1" s="17"/>
      <c r="F1" s="17"/>
    </row>
    <row r="2" customFormat="false" ht="24" hidden="false" customHeight="true" outlineLevel="0" collapsed="false">
      <c r="B2" s="18" t="s">
        <v>52</v>
      </c>
      <c r="C2" s="18"/>
      <c r="D2" s="18"/>
      <c r="E2" s="18"/>
      <c r="F2" s="18"/>
    </row>
    <row r="3" customFormat="false" ht="3.75" hidden="false" customHeight="true" outlineLevel="0" collapsed="false"/>
    <row r="4" customFormat="false" ht="18" hidden="false" customHeight="true" outlineLevel="0" collapsed="false">
      <c r="B4" s="19" t="s">
        <v>53</v>
      </c>
      <c r="C4" s="20" t="s">
        <v>54</v>
      </c>
      <c r="D4" s="20" t="s">
        <v>55</v>
      </c>
      <c r="E4" s="20" t="s">
        <v>56</v>
      </c>
    </row>
    <row r="5" customFormat="false" ht="18" hidden="false" customHeight="true" outlineLevel="0" collapsed="false">
      <c r="B5" s="21" t="s">
        <v>57</v>
      </c>
      <c r="C5" s="21"/>
      <c r="D5" s="21"/>
      <c r="E5" s="21"/>
      <c r="F5" s="21"/>
    </row>
    <row r="6" customFormat="false" ht="15.75" hidden="false" customHeight="true" outlineLevel="0" collapsed="false">
      <c r="B6" s="9" t="s">
        <v>58</v>
      </c>
      <c r="C6" s="22" t="n">
        <v>361</v>
      </c>
      <c r="D6" s="23" t="s">
        <v>59</v>
      </c>
      <c r="E6" s="24" t="s">
        <v>60</v>
      </c>
    </row>
    <row r="7" customFormat="false" ht="15.75" hidden="false" customHeight="true" outlineLevel="0" collapsed="false">
      <c r="B7" s="9" t="s">
        <v>61</v>
      </c>
      <c r="C7" s="25" t="n">
        <v>0.03</v>
      </c>
      <c r="D7" s="23" t="s">
        <v>62</v>
      </c>
      <c r="E7" s="24" t="s">
        <v>63</v>
      </c>
    </row>
    <row r="8" customFormat="false" ht="15.75" hidden="false" customHeight="true" outlineLevel="0" collapsed="false">
      <c r="B8" s="9" t="s">
        <v>64</v>
      </c>
      <c r="C8" s="26" t="n">
        <v>0.001</v>
      </c>
      <c r="D8" s="23" t="s">
        <v>65</v>
      </c>
      <c r="E8" s="24" t="s">
        <v>66</v>
      </c>
    </row>
    <row r="10" customFormat="false" ht="18" hidden="false" customHeight="true" outlineLevel="0" collapsed="false">
      <c r="B10" s="21" t="s">
        <v>67</v>
      </c>
      <c r="C10" s="21"/>
      <c r="D10" s="21"/>
      <c r="E10" s="21"/>
      <c r="F10" s="21"/>
    </row>
    <row r="11" customFormat="false" ht="15.75" hidden="false" customHeight="true" outlineLevel="0" collapsed="false">
      <c r="B11" s="9" t="s">
        <v>68</v>
      </c>
      <c r="C11" s="22" t="n">
        <v>10</v>
      </c>
      <c r="D11" s="23" t="s">
        <v>69</v>
      </c>
      <c r="E11" s="24" t="s">
        <v>70</v>
      </c>
    </row>
    <row r="12" customFormat="false" ht="15.75" hidden="false" customHeight="true" outlineLevel="0" collapsed="false">
      <c r="B12" s="9" t="s">
        <v>71</v>
      </c>
      <c r="C12" s="22" t="n">
        <v>35</v>
      </c>
      <c r="D12" s="23" t="s">
        <v>69</v>
      </c>
      <c r="E12" s="24" t="s">
        <v>72</v>
      </c>
    </row>
    <row r="13" customFormat="false" ht="15.75" hidden="false" customHeight="true" outlineLevel="0" collapsed="false">
      <c r="B13" s="9" t="s">
        <v>73</v>
      </c>
      <c r="C13" s="22" t="n">
        <v>80</v>
      </c>
      <c r="D13" s="23" t="s">
        <v>69</v>
      </c>
      <c r="E13" s="24" t="s">
        <v>74</v>
      </c>
    </row>
    <row r="14" customFormat="false" ht="15.75" hidden="false" customHeight="true" outlineLevel="0" collapsed="false">
      <c r="B14" s="9" t="s">
        <v>75</v>
      </c>
      <c r="C14" s="22" t="n">
        <v>150</v>
      </c>
      <c r="D14" s="23" t="s">
        <v>69</v>
      </c>
      <c r="E14" s="24" t="s">
        <v>76</v>
      </c>
    </row>
    <row r="15" customFormat="false" ht="15.75" hidden="false" customHeight="true" outlineLevel="0" collapsed="false">
      <c r="B15" s="9" t="s">
        <v>77</v>
      </c>
      <c r="C15" s="22" t="n">
        <v>250</v>
      </c>
      <c r="D15" s="23" t="s">
        <v>69</v>
      </c>
      <c r="E15" s="24" t="s">
        <v>78</v>
      </c>
    </row>
    <row r="17" customFormat="false" ht="15.75" hidden="false" customHeight="true" outlineLevel="0" collapsed="false">
      <c r="B17" s="9" t="s">
        <v>79</v>
      </c>
      <c r="C17" s="22" t="n">
        <v>500</v>
      </c>
      <c r="D17" s="23" t="s">
        <v>80</v>
      </c>
      <c r="E17" s="24" t="s">
        <v>81</v>
      </c>
    </row>
    <row r="18" customFormat="false" ht="15.75" hidden="false" customHeight="true" outlineLevel="0" collapsed="false">
      <c r="B18" s="9" t="s">
        <v>82</v>
      </c>
      <c r="C18" s="22" t="n">
        <v>2500</v>
      </c>
      <c r="D18" s="23" t="s">
        <v>80</v>
      </c>
      <c r="E18" s="24" t="s">
        <v>83</v>
      </c>
    </row>
    <row r="19" customFormat="false" ht="15.75" hidden="false" customHeight="true" outlineLevel="0" collapsed="false">
      <c r="B19" s="9" t="s">
        <v>84</v>
      </c>
      <c r="C19" s="22" t="n">
        <v>8000</v>
      </c>
      <c r="D19" s="23" t="s">
        <v>80</v>
      </c>
      <c r="E19" s="24" t="s">
        <v>85</v>
      </c>
    </row>
    <row r="20" customFormat="false" ht="15.75" hidden="false" customHeight="true" outlineLevel="0" collapsed="false">
      <c r="B20" s="9" t="s">
        <v>86</v>
      </c>
      <c r="C20" s="22" t="n">
        <v>20000</v>
      </c>
      <c r="D20" s="23" t="s">
        <v>80</v>
      </c>
      <c r="E20" s="24" t="s">
        <v>87</v>
      </c>
    </row>
    <row r="21" customFormat="false" ht="15.75" hidden="false" customHeight="true" outlineLevel="0" collapsed="false">
      <c r="B21" s="9" t="s">
        <v>88</v>
      </c>
      <c r="C21" s="22" t="n">
        <v>45000</v>
      </c>
      <c r="D21" s="23" t="s">
        <v>80</v>
      </c>
      <c r="E21" s="24" t="s">
        <v>89</v>
      </c>
    </row>
    <row r="23" customFormat="false" ht="15.75" hidden="false" customHeight="true" outlineLevel="0" collapsed="false">
      <c r="B23" s="9" t="s">
        <v>90</v>
      </c>
      <c r="C23" s="27" t="n">
        <v>250000</v>
      </c>
      <c r="D23" s="23" t="s">
        <v>91</v>
      </c>
      <c r="E23" s="24" t="s">
        <v>92</v>
      </c>
    </row>
    <row r="24" customFormat="false" ht="15.75" hidden="false" customHeight="true" outlineLevel="0" collapsed="false">
      <c r="B24" s="9" t="s">
        <v>93</v>
      </c>
      <c r="C24" s="27" t="n">
        <v>1500000</v>
      </c>
      <c r="D24" s="23" t="s">
        <v>91</v>
      </c>
      <c r="E24" s="24" t="s">
        <v>94</v>
      </c>
    </row>
    <row r="25" customFormat="false" ht="15.75" hidden="false" customHeight="true" outlineLevel="0" collapsed="false">
      <c r="B25" s="9" t="s">
        <v>95</v>
      </c>
      <c r="C25" s="27" t="n">
        <v>6000000</v>
      </c>
      <c r="D25" s="23" t="s">
        <v>91</v>
      </c>
      <c r="E25" s="24" t="s">
        <v>96</v>
      </c>
    </row>
    <row r="26" customFormat="false" ht="15.75" hidden="false" customHeight="true" outlineLevel="0" collapsed="false">
      <c r="B26" s="9" t="s">
        <v>97</v>
      </c>
      <c r="C26" s="27" t="n">
        <v>20000000</v>
      </c>
      <c r="D26" s="23" t="s">
        <v>91</v>
      </c>
      <c r="E26" s="24" t="s">
        <v>98</v>
      </c>
    </row>
    <row r="27" customFormat="false" ht="15.75" hidden="false" customHeight="true" outlineLevel="0" collapsed="false">
      <c r="B27" s="9" t="s">
        <v>99</v>
      </c>
      <c r="C27" s="27" t="n">
        <v>60000000</v>
      </c>
      <c r="D27" s="23" t="s">
        <v>91</v>
      </c>
      <c r="E27" s="24" t="s">
        <v>100</v>
      </c>
    </row>
    <row r="29" customFormat="false" ht="18" hidden="false" customHeight="true" outlineLevel="0" collapsed="false">
      <c r="B29" s="21" t="s">
        <v>101</v>
      </c>
      <c r="C29" s="21"/>
      <c r="D29" s="21"/>
      <c r="E29" s="21"/>
      <c r="F29" s="21"/>
    </row>
    <row r="30" customFormat="false" ht="15.75" hidden="false" customHeight="true" outlineLevel="0" collapsed="false">
      <c r="B30" s="9" t="s">
        <v>102</v>
      </c>
      <c r="C30" s="25" t="n">
        <v>0.005</v>
      </c>
      <c r="D30" s="23" t="s">
        <v>103</v>
      </c>
      <c r="E30" s="24" t="s">
        <v>104</v>
      </c>
    </row>
    <row r="31" customFormat="false" ht="15.75" hidden="false" customHeight="true" outlineLevel="0" collapsed="false">
      <c r="B31" s="9" t="s">
        <v>105</v>
      </c>
      <c r="C31" s="25" t="n">
        <v>0.0025</v>
      </c>
      <c r="D31" s="23" t="s">
        <v>106</v>
      </c>
      <c r="E31" s="24" t="s">
        <v>107</v>
      </c>
    </row>
    <row r="32" customFormat="false" ht="15.75" hidden="false" customHeight="true" outlineLevel="0" collapsed="false">
      <c r="B32" s="9" t="s">
        <v>108</v>
      </c>
      <c r="C32" s="27" t="n">
        <v>500000</v>
      </c>
      <c r="D32" s="23" t="s">
        <v>109</v>
      </c>
      <c r="E32" s="24" t="s">
        <v>110</v>
      </c>
    </row>
    <row r="33" customFormat="false" ht="15.75" hidden="false" customHeight="true" outlineLevel="0" collapsed="false">
      <c r="B33" s="9" t="s">
        <v>111</v>
      </c>
      <c r="C33" s="27" t="n">
        <v>5000</v>
      </c>
      <c r="D33" s="23" t="s">
        <v>112</v>
      </c>
      <c r="E33" s="24" t="s">
        <v>113</v>
      </c>
    </row>
    <row r="34" customFormat="false" ht="15.75" hidden="false" customHeight="true" outlineLevel="0" collapsed="false">
      <c r="B34" s="9" t="s">
        <v>114</v>
      </c>
      <c r="C34" s="27" t="n">
        <v>500</v>
      </c>
      <c r="D34" s="23" t="s">
        <v>115</v>
      </c>
      <c r="E34" s="24" t="s">
        <v>116</v>
      </c>
    </row>
    <row r="35" customFormat="false" ht="15.75" hidden="false" customHeight="true" outlineLevel="0" collapsed="false">
      <c r="B35" s="9" t="s">
        <v>117</v>
      </c>
      <c r="C35" s="22" t="n">
        <v>4</v>
      </c>
      <c r="D35" s="23" t="s">
        <v>118</v>
      </c>
      <c r="E35" s="24" t="s">
        <v>119</v>
      </c>
    </row>
    <row r="36" customFormat="false" ht="15.75" hidden="false" customHeight="true" outlineLevel="0" collapsed="false">
      <c r="B36" s="9" t="s">
        <v>120</v>
      </c>
      <c r="C36" s="27" t="n">
        <v>50</v>
      </c>
      <c r="D36" s="23" t="s">
        <v>121</v>
      </c>
      <c r="E36" s="24" t="s">
        <v>122</v>
      </c>
    </row>
    <row r="37" customFormat="false" ht="15.75" hidden="false" customHeight="true" outlineLevel="0" collapsed="false">
      <c r="B37" s="9" t="s">
        <v>123</v>
      </c>
      <c r="C37" s="27" t="n">
        <v>100000</v>
      </c>
      <c r="D37" s="23" t="s">
        <v>124</v>
      </c>
      <c r="E37" s="24" t="s">
        <v>125</v>
      </c>
    </row>
    <row r="38" customFormat="false" ht="15.75" hidden="false" customHeight="true" outlineLevel="0" collapsed="false">
      <c r="B38" s="9" t="s">
        <v>126</v>
      </c>
      <c r="C38" s="27" t="n">
        <v>250000</v>
      </c>
      <c r="D38" s="23" t="s">
        <v>124</v>
      </c>
      <c r="E38" s="24" t="s">
        <v>127</v>
      </c>
    </row>
    <row r="39" customFormat="false" ht="15.75" hidden="false" customHeight="true" outlineLevel="0" collapsed="false">
      <c r="B39" s="9" t="s">
        <v>128</v>
      </c>
      <c r="C39" s="27" t="n">
        <v>500000</v>
      </c>
      <c r="D39" s="23" t="s">
        <v>124</v>
      </c>
      <c r="E39" s="24" t="s">
        <v>129</v>
      </c>
    </row>
    <row r="40" customFormat="false" ht="15.75" hidden="false" customHeight="true" outlineLevel="0" collapsed="false">
      <c r="B40" s="9" t="s">
        <v>130</v>
      </c>
      <c r="C40" s="27" t="n">
        <v>900000</v>
      </c>
      <c r="D40" s="23" t="s">
        <v>124</v>
      </c>
      <c r="E40" s="24" t="s">
        <v>131</v>
      </c>
    </row>
    <row r="41" customFormat="false" ht="15.75" hidden="false" customHeight="true" outlineLevel="0" collapsed="false">
      <c r="B41" s="9" t="s">
        <v>132</v>
      </c>
      <c r="C41" s="27" t="n">
        <v>30000</v>
      </c>
      <c r="D41" s="23" t="s">
        <v>124</v>
      </c>
      <c r="E41" s="24" t="s">
        <v>133</v>
      </c>
    </row>
    <row r="42" customFormat="false" ht="15.75" hidden="false" customHeight="true" outlineLevel="0" collapsed="false">
      <c r="B42" s="9" t="s">
        <v>134</v>
      </c>
      <c r="C42" s="27" t="n">
        <v>120000</v>
      </c>
      <c r="D42" s="23" t="s">
        <v>124</v>
      </c>
      <c r="E42" s="24" t="s">
        <v>135</v>
      </c>
    </row>
    <row r="43" customFormat="false" ht="15.75" hidden="false" customHeight="true" outlineLevel="0" collapsed="false">
      <c r="B43" s="9" t="s">
        <v>136</v>
      </c>
      <c r="C43" s="27" t="n">
        <v>350000</v>
      </c>
      <c r="D43" s="23" t="s">
        <v>124</v>
      </c>
      <c r="E43" s="24" t="s">
        <v>137</v>
      </c>
    </row>
    <row r="44" customFormat="false" ht="15.75" hidden="false" customHeight="true" outlineLevel="0" collapsed="false">
      <c r="B44" s="9" t="s">
        <v>138</v>
      </c>
      <c r="C44" s="27" t="n">
        <v>800000</v>
      </c>
      <c r="D44" s="23" t="s">
        <v>124</v>
      </c>
      <c r="E44" s="24" t="s">
        <v>139</v>
      </c>
    </row>
    <row r="45" customFormat="false" ht="15.75" hidden="false" customHeight="true" outlineLevel="0" collapsed="false">
      <c r="B45" s="9" t="s">
        <v>140</v>
      </c>
      <c r="C45" s="27" t="n">
        <v>80000</v>
      </c>
      <c r="D45" s="23" t="s">
        <v>141</v>
      </c>
      <c r="E45" s="24" t="s">
        <v>142</v>
      </c>
    </row>
    <row r="47" customFormat="false" ht="18" hidden="false" customHeight="true" outlineLevel="0" collapsed="false">
      <c r="B47" s="21" t="s">
        <v>143</v>
      </c>
      <c r="C47" s="21"/>
      <c r="D47" s="21"/>
      <c r="E47" s="21"/>
      <c r="F47" s="21"/>
    </row>
    <row r="48" customFormat="false" ht="15.75" hidden="false" customHeight="true" outlineLevel="0" collapsed="false">
      <c r="B48" s="9" t="s">
        <v>144</v>
      </c>
      <c r="C48" s="27" t="n">
        <v>36000</v>
      </c>
      <c r="D48" s="23" t="s">
        <v>124</v>
      </c>
      <c r="E48" s="24" t="s">
        <v>145</v>
      </c>
    </row>
    <row r="49" customFormat="false" ht="15.75" hidden="false" customHeight="true" outlineLevel="0" collapsed="false">
      <c r="B49" s="9" t="s">
        <v>146</v>
      </c>
      <c r="C49" s="27" t="n">
        <v>36000</v>
      </c>
      <c r="D49" s="23" t="s">
        <v>124</v>
      </c>
      <c r="E49" s="24" t="s">
        <v>147</v>
      </c>
    </row>
    <row r="50" customFormat="false" ht="15.75" hidden="false" customHeight="true" outlineLevel="0" collapsed="false">
      <c r="B50" s="9" t="s">
        <v>148</v>
      </c>
      <c r="C50" s="27" t="n">
        <v>24000</v>
      </c>
      <c r="D50" s="23" t="s">
        <v>124</v>
      </c>
      <c r="E50" s="24" t="s">
        <v>149</v>
      </c>
    </row>
    <row r="51" customFormat="false" ht="15.75" hidden="false" customHeight="true" outlineLevel="0" collapsed="false">
      <c r="B51" s="9" t="s">
        <v>150</v>
      </c>
      <c r="C51" s="27" t="n">
        <v>18000</v>
      </c>
      <c r="D51" s="23" t="s">
        <v>124</v>
      </c>
      <c r="E51" s="24" t="s">
        <v>151</v>
      </c>
    </row>
    <row r="52" customFormat="false" ht="15.75" hidden="false" customHeight="true" outlineLevel="0" collapsed="false">
      <c r="B52" s="9" t="s">
        <v>152</v>
      </c>
      <c r="C52" s="27" t="n">
        <v>24000</v>
      </c>
      <c r="D52" s="23" t="s">
        <v>124</v>
      </c>
      <c r="E52" s="24" t="s">
        <v>153</v>
      </c>
    </row>
    <row r="53" customFormat="false" ht="15.75" hidden="false" customHeight="true" outlineLevel="0" collapsed="false">
      <c r="B53" s="9" t="s">
        <v>154</v>
      </c>
      <c r="C53" s="27" t="n">
        <v>18000</v>
      </c>
      <c r="D53" s="23" t="s">
        <v>124</v>
      </c>
      <c r="E53" s="24" t="s">
        <v>155</v>
      </c>
    </row>
    <row r="54" customFormat="false" ht="15.75" hidden="false" customHeight="true" outlineLevel="0" collapsed="false">
      <c r="B54" s="9" t="s">
        <v>156</v>
      </c>
      <c r="C54" s="27" t="n">
        <v>18000</v>
      </c>
      <c r="D54" s="23" t="s">
        <v>124</v>
      </c>
      <c r="E54" s="24" t="s">
        <v>157</v>
      </c>
    </row>
    <row r="55" customFormat="false" ht="15.75" hidden="false" customHeight="true" outlineLevel="0" collapsed="false">
      <c r="B55" s="9" t="s">
        <v>158</v>
      </c>
      <c r="C55" s="27" t="n">
        <v>15000</v>
      </c>
      <c r="D55" s="23" t="s">
        <v>124</v>
      </c>
      <c r="E55" s="24" t="s">
        <v>159</v>
      </c>
    </row>
    <row r="56" customFormat="false" ht="15.75" hidden="false" customHeight="true" outlineLevel="0" collapsed="false">
      <c r="B56" s="9" t="s">
        <v>160</v>
      </c>
      <c r="C56" s="27" t="n">
        <v>60000</v>
      </c>
      <c r="D56" s="23" t="s">
        <v>124</v>
      </c>
      <c r="E56" s="24" t="s">
        <v>161</v>
      </c>
    </row>
    <row r="57" customFormat="false" ht="15.75" hidden="false" customHeight="true" outlineLevel="0" collapsed="false">
      <c r="B57" s="9" t="s">
        <v>162</v>
      </c>
      <c r="C57" s="27" t="n">
        <v>120000</v>
      </c>
      <c r="D57" s="23" t="s">
        <v>124</v>
      </c>
      <c r="E57" s="24" t="s">
        <v>163</v>
      </c>
    </row>
    <row r="58" customFormat="false" ht="15.75" hidden="false" customHeight="true" outlineLevel="0" collapsed="false">
      <c r="B58" s="9" t="s">
        <v>164</v>
      </c>
      <c r="C58" s="27" t="n">
        <v>200000</v>
      </c>
      <c r="D58" s="23" t="s">
        <v>124</v>
      </c>
      <c r="E58" s="24" t="s">
        <v>165</v>
      </c>
    </row>
    <row r="59" customFormat="false" ht="15.75" hidden="false" customHeight="true" outlineLevel="0" collapsed="false">
      <c r="B59" s="9" t="s">
        <v>166</v>
      </c>
      <c r="C59" s="27" t="n">
        <v>350000</v>
      </c>
      <c r="D59" s="23" t="s">
        <v>124</v>
      </c>
      <c r="E59" s="24" t="s">
        <v>167</v>
      </c>
    </row>
    <row r="61" customFormat="false" ht="15.75" hidden="false" customHeight="true" outlineLevel="0" collapsed="false">
      <c r="B61" s="9" t="s">
        <v>168</v>
      </c>
      <c r="C61" s="27" t="n">
        <v>12000</v>
      </c>
      <c r="D61" s="23" t="s">
        <v>124</v>
      </c>
      <c r="E61" s="24" t="s">
        <v>169</v>
      </c>
    </row>
    <row r="62" customFormat="false" ht="15.75" hidden="false" customHeight="true" outlineLevel="0" collapsed="false">
      <c r="B62" s="9" t="s">
        <v>170</v>
      </c>
      <c r="C62" s="25" t="n">
        <v>0.25</v>
      </c>
      <c r="D62" s="23" t="s">
        <v>62</v>
      </c>
      <c r="E62" s="24" t="s">
        <v>171</v>
      </c>
    </row>
    <row r="63" customFormat="false" ht="15.75" hidden="false" customHeight="true" outlineLevel="0" collapsed="false">
      <c r="B63" s="9" t="s">
        <v>172</v>
      </c>
      <c r="C63" s="27" t="n">
        <v>3600</v>
      </c>
      <c r="D63" s="23" t="s">
        <v>124</v>
      </c>
      <c r="E63" s="24" t="s">
        <v>173</v>
      </c>
    </row>
    <row r="64" customFormat="false" ht="15.75" hidden="false" customHeight="true" outlineLevel="0" collapsed="false">
      <c r="B64" s="9" t="s">
        <v>174</v>
      </c>
      <c r="C64" s="25" t="n">
        <v>0.3</v>
      </c>
      <c r="D64" s="23" t="s">
        <v>62</v>
      </c>
      <c r="E64" s="24" t="s">
        <v>175</v>
      </c>
    </row>
    <row r="65" customFormat="false" ht="15.75" hidden="false" customHeight="true" outlineLevel="0" collapsed="false">
      <c r="B65" s="9" t="s">
        <v>176</v>
      </c>
      <c r="C65" s="27" t="n">
        <v>60000</v>
      </c>
      <c r="D65" s="23" t="s">
        <v>141</v>
      </c>
      <c r="E65" s="24" t="s">
        <v>177</v>
      </c>
    </row>
    <row r="66" customFormat="false" ht="15.75" hidden="false" customHeight="true" outlineLevel="0" collapsed="false">
      <c r="B66" s="9" t="s">
        <v>178</v>
      </c>
      <c r="C66" s="27" t="n">
        <v>15000</v>
      </c>
      <c r="D66" s="23" t="s">
        <v>124</v>
      </c>
      <c r="E66" s="24" t="s">
        <v>179</v>
      </c>
    </row>
    <row r="67" customFormat="false" ht="15.75" hidden="false" customHeight="true" outlineLevel="0" collapsed="false">
      <c r="B67" s="9" t="s">
        <v>180</v>
      </c>
      <c r="C67" s="27" t="n">
        <v>25000</v>
      </c>
      <c r="D67" s="23" t="s">
        <v>124</v>
      </c>
      <c r="E67" s="24" t="s">
        <v>181</v>
      </c>
    </row>
    <row r="68" customFormat="false" ht="15.75" hidden="false" customHeight="true" outlineLevel="0" collapsed="false">
      <c r="B68" s="9" t="s">
        <v>182</v>
      </c>
      <c r="C68" s="27" t="n">
        <v>15000</v>
      </c>
      <c r="D68" s="23" t="s">
        <v>124</v>
      </c>
      <c r="E68" s="24" t="s">
        <v>183</v>
      </c>
    </row>
    <row r="69" customFormat="false" ht="15.75" hidden="false" customHeight="true" outlineLevel="0" collapsed="false">
      <c r="B69" s="9" t="s">
        <v>184</v>
      </c>
      <c r="C69" s="27" t="n">
        <v>15000</v>
      </c>
      <c r="D69" s="23" t="s">
        <v>124</v>
      </c>
      <c r="E69" s="24" t="s">
        <v>185</v>
      </c>
    </row>
    <row r="70" customFormat="false" ht="15.75" hidden="false" customHeight="true" outlineLevel="0" collapsed="false">
      <c r="B70" s="9" t="s">
        <v>186</v>
      </c>
      <c r="C70" s="25" t="n">
        <v>0.5</v>
      </c>
      <c r="D70" s="23" t="s">
        <v>62</v>
      </c>
      <c r="E70" s="24" t="s">
        <v>187</v>
      </c>
    </row>
    <row r="71" customFormat="false" ht="15.75" hidden="false" customHeight="true" outlineLevel="0" collapsed="false">
      <c r="B71" s="9" t="s">
        <v>188</v>
      </c>
      <c r="C71" s="27" t="n">
        <v>8000</v>
      </c>
      <c r="D71" s="23" t="s">
        <v>124</v>
      </c>
      <c r="E71" s="24" t="s">
        <v>189</v>
      </c>
    </row>
    <row r="72" customFormat="false" ht="15.75" hidden="false" customHeight="true" outlineLevel="0" collapsed="false">
      <c r="B72" s="9" t="s">
        <v>190</v>
      </c>
      <c r="C72" s="27" t="n">
        <v>10000</v>
      </c>
      <c r="D72" s="23" t="s">
        <v>124</v>
      </c>
      <c r="E72" s="24" t="s">
        <v>191</v>
      </c>
    </row>
    <row r="73" customFormat="false" ht="15.75" hidden="false" customHeight="true" outlineLevel="0" collapsed="false">
      <c r="B73" s="9" t="s">
        <v>192</v>
      </c>
      <c r="C73" s="25" t="n">
        <v>0.2</v>
      </c>
      <c r="D73" s="23" t="s">
        <v>62</v>
      </c>
      <c r="E73" s="24" t="s">
        <v>193</v>
      </c>
    </row>
    <row r="74" customFormat="false" ht="15.75" hidden="false" customHeight="true" outlineLevel="0" collapsed="false">
      <c r="B74" s="9" t="s">
        <v>194</v>
      </c>
      <c r="C74" s="25" t="n">
        <v>0.03</v>
      </c>
      <c r="D74" s="23" t="s">
        <v>195</v>
      </c>
      <c r="E74" s="24" t="s">
        <v>196</v>
      </c>
    </row>
    <row r="76" customFormat="false" ht="18" hidden="false" customHeight="true" outlineLevel="0" collapsed="false">
      <c r="B76" s="21" t="s">
        <v>197</v>
      </c>
      <c r="C76" s="21"/>
      <c r="D76" s="21"/>
      <c r="E76" s="21"/>
      <c r="F76" s="21"/>
    </row>
    <row r="77" customFormat="false" ht="15.75" hidden="false" customHeight="true" outlineLevel="0" collapsed="false">
      <c r="B77" s="9" t="s">
        <v>198</v>
      </c>
      <c r="C77" s="25" t="n">
        <v>0.18</v>
      </c>
      <c r="D77" s="23" t="s">
        <v>195</v>
      </c>
      <c r="E77" s="24" t="s">
        <v>199</v>
      </c>
    </row>
    <row r="78" customFormat="false" ht="15.75" hidden="false" customHeight="true" outlineLevel="0" collapsed="false">
      <c r="B78" s="9" t="s">
        <v>200</v>
      </c>
      <c r="C78" s="25" t="n">
        <v>0.04</v>
      </c>
      <c r="D78" s="23" t="s">
        <v>195</v>
      </c>
      <c r="E78" s="24" t="s">
        <v>201</v>
      </c>
    </row>
    <row r="79" customFormat="false" ht="15.75" hidden="false" customHeight="true" outlineLevel="0" collapsed="false">
      <c r="B79" s="9" t="s">
        <v>202</v>
      </c>
      <c r="C79" s="28" t="n">
        <v>8</v>
      </c>
      <c r="D79" s="23" t="s">
        <v>203</v>
      </c>
      <c r="E79" s="24" t="s">
        <v>204</v>
      </c>
    </row>
    <row r="80" customFormat="false" ht="15.75" hidden="false" customHeight="true" outlineLevel="0" collapsed="false">
      <c r="B80" s="9" t="s">
        <v>205</v>
      </c>
      <c r="C80" s="28" t="n">
        <v>20</v>
      </c>
      <c r="D80" s="23" t="s">
        <v>203</v>
      </c>
      <c r="E80" s="24" t="s">
        <v>206</v>
      </c>
    </row>
    <row r="81" customFormat="false" ht="15.75" hidden="false" customHeight="true" outlineLevel="0" collapsed="false">
      <c r="B81" s="9" t="s">
        <v>207</v>
      </c>
      <c r="C81" s="25" t="n">
        <v>0.25</v>
      </c>
      <c r="D81" s="23" t="s">
        <v>195</v>
      </c>
      <c r="E81" s="24" t="s">
        <v>208</v>
      </c>
    </row>
    <row r="83" customFormat="false" ht="18" hidden="false" customHeight="true" outlineLevel="0" collapsed="false">
      <c r="B83" s="21" t="s">
        <v>209</v>
      </c>
      <c r="C83" s="21"/>
      <c r="D83" s="21"/>
      <c r="E83" s="21"/>
      <c r="F83" s="21"/>
    </row>
    <row r="84" customFormat="false" ht="18" hidden="false" customHeight="true" outlineLevel="0" collapsed="false">
      <c r="B84" s="29" t="s">
        <v>210</v>
      </c>
      <c r="C84" s="30" t="s">
        <v>211</v>
      </c>
      <c r="D84" s="23" t="s">
        <v>212</v>
      </c>
      <c r="E84" s="24" t="s">
        <v>213</v>
      </c>
    </row>
    <row r="85" customFormat="false" ht="15.75" hidden="false" customHeight="true" outlineLevel="0" collapsed="false">
      <c r="B85" s="9" t="s">
        <v>214</v>
      </c>
      <c r="C85" s="28" t="n">
        <v>0.6</v>
      </c>
      <c r="D85" s="23" t="s">
        <v>215</v>
      </c>
      <c r="E85" s="24" t="s">
        <v>216</v>
      </c>
    </row>
    <row r="86" customFormat="false" ht="15.75" hidden="false" customHeight="true" outlineLevel="0" collapsed="false">
      <c r="B86" s="9" t="s">
        <v>217</v>
      </c>
      <c r="C86" s="28" t="n">
        <v>1.5</v>
      </c>
      <c r="D86" s="23" t="s">
        <v>215</v>
      </c>
      <c r="E86" s="24" t="s">
        <v>216</v>
      </c>
    </row>
  </sheetData>
  <mergeCells count="8">
    <mergeCell ref="B1:F1"/>
    <mergeCell ref="B2:F2"/>
    <mergeCell ref="B5:F5"/>
    <mergeCell ref="B10:F10"/>
    <mergeCell ref="B29:F29"/>
    <mergeCell ref="B47:F47"/>
    <mergeCell ref="B76:F76"/>
    <mergeCell ref="B83:F83"/>
  </mergeCells>
  <dataValidations count="1">
    <dataValidation allowBlank="false" error="Please select Bear, Base, or Bull" errorStyle="stop" errorTitle="Invalid Scenario" operator="between" prompt="Select scenario: Bear, Base, or Bull" showDropDown="false" showErrorMessage="false" showInputMessage="false" sqref="C84" type="list">
      <formula1>"Bear,Base,Bull"</formula1>
      <formula2>0</formula2>
    </dataValidation>
  </dataValidation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8" min="4" style="1" width="14"/>
    <col collapsed="false" customWidth="true" hidden="false" outlineLevel="0" max="9" min="9" style="1" width="22"/>
  </cols>
  <sheetData>
    <row r="1" customFormat="false" ht="27.75" hidden="false" customHeight="true" outlineLevel="0" collapsed="false">
      <c r="B1" s="17" t="s">
        <v>218</v>
      </c>
      <c r="C1" s="17"/>
      <c r="D1" s="17"/>
      <c r="E1" s="17"/>
      <c r="F1" s="17"/>
      <c r="G1" s="17"/>
      <c r="H1" s="17"/>
    </row>
    <row r="2" customFormat="false" ht="18" hidden="false" customHeight="true" outlineLevel="0" collapsed="false">
      <c r="B2" s="31" t="s">
        <v>219</v>
      </c>
      <c r="C2" s="31"/>
      <c r="D2" s="31"/>
      <c r="E2" s="31"/>
      <c r="F2" s="31"/>
      <c r="G2" s="31"/>
      <c r="H2" s="31"/>
    </row>
    <row r="3" customFormat="false" ht="6" hidden="false" customHeight="true" outlineLevel="0" collapsed="false"/>
    <row r="4" customFormat="false" ht="21.75" hidden="false" customHeight="true" outlineLevel="0" collapsed="false">
      <c r="B4" s="19" t="s">
        <v>220</v>
      </c>
      <c r="C4" s="20" t="s">
        <v>221</v>
      </c>
      <c r="D4" s="20" t="s">
        <v>222</v>
      </c>
      <c r="E4" s="20" t="s">
        <v>223</v>
      </c>
      <c r="F4" s="20" t="s">
        <v>224</v>
      </c>
      <c r="G4" s="20" t="s">
        <v>225</v>
      </c>
      <c r="H4" s="20" t="s">
        <v>56</v>
      </c>
    </row>
    <row r="5" customFormat="false" ht="18" hidden="false" customHeight="true" outlineLevel="0" collapsed="false">
      <c r="B5" s="14" t="s">
        <v>226</v>
      </c>
      <c r="C5" s="14"/>
      <c r="D5" s="14"/>
      <c r="E5" s="14"/>
      <c r="F5" s="14"/>
      <c r="G5" s="14"/>
      <c r="H5" s="14"/>
    </row>
    <row r="6" customFormat="false" ht="15.75" hidden="false" customHeight="true" outlineLevel="0" collapsed="false">
      <c r="B6" s="9" t="s">
        <v>227</v>
      </c>
      <c r="D6" s="32" t="n">
        <f aca="false">ASSUMPTIONS!C11</f>
        <v>10</v>
      </c>
      <c r="E6" s="32" t="n">
        <f aca="false">ASSUMPTIONS!C12</f>
        <v>35</v>
      </c>
      <c r="F6" s="32" t="n">
        <f aca="false">ASSUMPTIONS!C13</f>
        <v>80</v>
      </c>
      <c r="G6" s="32" t="n">
        <f aca="false">ASSUMPTIONS!C14</f>
        <v>150</v>
      </c>
      <c r="H6" s="32" t="n">
        <f aca="false">ASSUMPTIONS!C15</f>
        <v>250</v>
      </c>
      <c r="I6" s="33" t="s">
        <v>228</v>
      </c>
    </row>
    <row r="7" customFormat="false" ht="15.75" hidden="false" customHeight="true" outlineLevel="0" collapsed="false">
      <c r="B7" s="9" t="s">
        <v>229</v>
      </c>
      <c r="D7" s="32" t="n">
        <f aca="false">D6</f>
        <v>10</v>
      </c>
      <c r="E7" s="32" t="n">
        <f aca="false">E6-D6</f>
        <v>25</v>
      </c>
      <c r="F7" s="32" t="n">
        <f aca="false">F6-E6</f>
        <v>45</v>
      </c>
      <c r="G7" s="32" t="n">
        <f aca="false">G6-F6</f>
        <v>70</v>
      </c>
      <c r="H7" s="32" t="n">
        <f aca="false">H6-G6</f>
        <v>100</v>
      </c>
      <c r="I7" s="33" t="s">
        <v>230</v>
      </c>
    </row>
    <row r="8" customFormat="false" ht="15.75" hidden="false" customHeight="true" outlineLevel="0" collapsed="false">
      <c r="B8" s="9" t="s">
        <v>231</v>
      </c>
      <c r="D8" s="32" t="n">
        <f aca="false">ASSUMPTIONS!C17</f>
        <v>500</v>
      </c>
      <c r="E8" s="32" t="n">
        <f aca="false">ASSUMPTIONS!C18</f>
        <v>2500</v>
      </c>
      <c r="F8" s="32" t="n">
        <f aca="false">ASSUMPTIONS!C19</f>
        <v>8000</v>
      </c>
      <c r="G8" s="32" t="n">
        <f aca="false">ASSUMPTIONS!C20</f>
        <v>20000</v>
      </c>
      <c r="H8" s="32" t="n">
        <f aca="false">ASSUMPTIONS!C21</f>
        <v>45000</v>
      </c>
      <c r="I8" s="33" t="s">
        <v>232</v>
      </c>
    </row>
    <row r="9" customFormat="false" ht="15.75" hidden="false" customHeight="true" outlineLevel="0" collapsed="false">
      <c r="B9" s="9" t="s">
        <v>233</v>
      </c>
      <c r="D9" s="32" t="n">
        <f aca="false">D8</f>
        <v>500</v>
      </c>
      <c r="E9" s="32" t="n">
        <f aca="false">E8-D8</f>
        <v>2000</v>
      </c>
      <c r="F9" s="32" t="n">
        <f aca="false">F8-E8</f>
        <v>5500</v>
      </c>
      <c r="G9" s="32" t="n">
        <f aca="false">G8-F8</f>
        <v>12000</v>
      </c>
      <c r="H9" s="32" t="n">
        <f aca="false">H8-G8</f>
        <v>25000</v>
      </c>
      <c r="I9" s="33" t="s">
        <v>234</v>
      </c>
    </row>
    <row r="10" customFormat="false" ht="15.75" hidden="false" customHeight="true" outlineLevel="0" collapsed="false">
      <c r="B10" s="9" t="s">
        <v>235</v>
      </c>
      <c r="D10" s="34" t="n">
        <f aca="false">ASSUMPTIONS!C23*12</f>
        <v>3000000</v>
      </c>
      <c r="E10" s="34" t="n">
        <f aca="false">ASSUMPTIONS!C24*12</f>
        <v>18000000</v>
      </c>
      <c r="F10" s="34" t="n">
        <f aca="false">ASSUMPTIONS!C25*12</f>
        <v>72000000</v>
      </c>
      <c r="G10" s="34" t="n">
        <f aca="false">ASSUMPTIONS!C26*12</f>
        <v>240000000</v>
      </c>
      <c r="H10" s="34" t="n">
        <f aca="false">ASSUMPTIONS!C27*12</f>
        <v>720000000</v>
      </c>
      <c r="I10" s="33" t="s">
        <v>236</v>
      </c>
    </row>
    <row r="11" customFormat="false" ht="15.75" hidden="false" customHeight="true" outlineLevel="0" collapsed="false">
      <c r="B11" s="35" t="s">
        <v>237</v>
      </c>
      <c r="D11" s="36" t="n">
        <f aca="false">IF(ASSUMPTIONS!C84="Bear",ASSUMPTIONS!C85,IF(ASSUMPTIONS!C84="Bull",ASSUMPTIONS!C86,1))</f>
        <v>1</v>
      </c>
      <c r="E11" s="36" t="n">
        <f aca="false">IF(ASSUMPTIONS!C84="Bear",ASSUMPTIONS!C85,IF(ASSUMPTIONS!C84="Bull",ASSUMPTIONS!C86,1))</f>
        <v>1</v>
      </c>
      <c r="F11" s="36" t="n">
        <f aca="false">IF(ASSUMPTIONS!C84="Bear",ASSUMPTIONS!C85,IF(ASSUMPTIONS!C84="Bull",ASSUMPTIONS!C86,1))</f>
        <v>1</v>
      </c>
      <c r="G11" s="36" t="n">
        <f aca="false">IF(ASSUMPTIONS!C84="Bear",ASSUMPTIONS!C85,IF(ASSUMPTIONS!C84="Bull",ASSUMPTIONS!C86,1))</f>
        <v>1</v>
      </c>
      <c r="H11" s="36" t="n">
        <f aca="false">IF(ASSUMPTIONS!C84="Bear",ASSUMPTIONS!C85,IF(ASSUMPTIONS!C84="Bull",ASSUMPTIONS!C86,1))</f>
        <v>1</v>
      </c>
      <c r="I11" s="33" t="s">
        <v>238</v>
      </c>
    </row>
    <row r="12" customFormat="false" ht="18" hidden="false" customHeight="true" outlineLevel="0" collapsed="false">
      <c r="B12" s="14" t="s">
        <v>239</v>
      </c>
      <c r="C12" s="14"/>
      <c r="D12" s="14"/>
      <c r="E12" s="14"/>
      <c r="F12" s="14"/>
      <c r="G12" s="14"/>
      <c r="H12" s="14"/>
    </row>
    <row r="13" customFormat="false" ht="15.75" hidden="false" customHeight="true" outlineLevel="0" collapsed="false">
      <c r="B13" s="9" t="s">
        <v>240</v>
      </c>
      <c r="D13" s="37" t="n">
        <f aca="false">ASSUMPTIONS!C23*12*ASSUMPTIONS!C30*D11</f>
        <v>15000</v>
      </c>
      <c r="E13" s="37" t="n">
        <f aca="false">ASSUMPTIONS!C24*12*ASSUMPTIONS!C30*E11</f>
        <v>90000</v>
      </c>
      <c r="F13" s="37" t="n">
        <f aca="false">ASSUMPTIONS!C25*12*ASSUMPTIONS!C30*F11</f>
        <v>360000</v>
      </c>
      <c r="G13" s="37" t="n">
        <f aca="false">ASSUMPTIONS!C26*12*ASSUMPTIONS!C30*G11</f>
        <v>1200000</v>
      </c>
      <c r="H13" s="37" t="n">
        <f aca="false">ASSUMPTIONS!C27*12*ASSUMPTIONS!C30*H11</f>
        <v>3600000</v>
      </c>
      <c r="I13" s="33" t="s">
        <v>241</v>
      </c>
    </row>
    <row r="14" customFormat="false" ht="15.75" hidden="false" customHeight="true" outlineLevel="0" collapsed="false">
      <c r="B14" s="9" t="s">
        <v>242</v>
      </c>
      <c r="D14" s="37" t="n">
        <f aca="false">D7*ASSUMPTIONS!C32*ASSUMPTIONS!C31*D11</f>
        <v>12500</v>
      </c>
      <c r="E14" s="37" t="n">
        <f aca="false">(E7-D7)*ASSUMPTIONS!C32*ASSUMPTIONS!C31*E11</f>
        <v>18750</v>
      </c>
      <c r="F14" s="37" t="n">
        <f aca="false">(F7-E7)*ASSUMPTIONS!C32*ASSUMPTIONS!C31*F11</f>
        <v>25000</v>
      </c>
      <c r="G14" s="37" t="n">
        <f aca="false">(G7-F7)*ASSUMPTIONS!C32*ASSUMPTIONS!C31*G11</f>
        <v>31250</v>
      </c>
      <c r="H14" s="37" t="n">
        <f aca="false">(H7-G7)*ASSUMPTIONS!C32*ASSUMPTIONS!C31*H11</f>
        <v>37500</v>
      </c>
      <c r="I14" s="33" t="s">
        <v>243</v>
      </c>
    </row>
    <row r="15" customFormat="false" ht="15.75" hidden="false" customHeight="true" outlineLevel="0" collapsed="false">
      <c r="B15" s="9" t="s">
        <v>244</v>
      </c>
      <c r="D15" s="37" t="n">
        <f aca="false">D7*ASSUMPTIONS!C33</f>
        <v>50000</v>
      </c>
      <c r="E15" s="37" t="n">
        <f aca="false">E7*ASSUMPTIONS!C33</f>
        <v>125000</v>
      </c>
      <c r="F15" s="37" t="n">
        <f aca="false">F7*ASSUMPTIONS!C33</f>
        <v>225000</v>
      </c>
      <c r="G15" s="37" t="n">
        <f aca="false">G7*ASSUMPTIONS!C33</f>
        <v>350000</v>
      </c>
      <c r="H15" s="37" t="n">
        <f aca="false">H7*ASSUMPTIONS!C33</f>
        <v>500000</v>
      </c>
      <c r="I15" s="33" t="s">
        <v>245</v>
      </c>
    </row>
    <row r="16" customFormat="false" ht="15.75" hidden="false" customHeight="true" outlineLevel="0" collapsed="false">
      <c r="B16" s="9" t="s">
        <v>246</v>
      </c>
      <c r="D16" s="37" t="n">
        <f aca="false">D7*ASSUMPTIONS!C35*ASSUMPTIONS!C34</f>
        <v>20000</v>
      </c>
      <c r="E16" s="37" t="n">
        <f aca="false">E7*ASSUMPTIONS!C35*ASSUMPTIONS!C34</f>
        <v>50000</v>
      </c>
      <c r="F16" s="37" t="n">
        <f aca="false">F7*ASSUMPTIONS!C35*ASSUMPTIONS!C34</f>
        <v>90000</v>
      </c>
      <c r="G16" s="37" t="n">
        <f aca="false">G7*ASSUMPTIONS!C35*ASSUMPTIONS!C34</f>
        <v>140000</v>
      </c>
      <c r="H16" s="37" t="n">
        <f aca="false">H7*ASSUMPTIONS!C35*ASSUMPTIONS!C34</f>
        <v>200000</v>
      </c>
      <c r="I16" s="33" t="s">
        <v>247</v>
      </c>
    </row>
    <row r="17" customFormat="false" ht="15.75" hidden="false" customHeight="true" outlineLevel="0" collapsed="false">
      <c r="B17" s="9" t="s">
        <v>248</v>
      </c>
      <c r="D17" s="37" t="n">
        <f aca="false">D9*ASSUMPTIONS!C36*D11</f>
        <v>25000</v>
      </c>
      <c r="E17" s="37" t="n">
        <f aca="false">(E9-D9)*ASSUMPTIONS!C36*E11</f>
        <v>75000</v>
      </c>
      <c r="F17" s="37" t="n">
        <f aca="false">(F9-E9)*ASSUMPTIONS!C36*F11</f>
        <v>175000</v>
      </c>
      <c r="G17" s="37" t="n">
        <f aca="false">(G9-F9)*ASSUMPTIONS!C36*G11</f>
        <v>325000</v>
      </c>
      <c r="H17" s="37" t="n">
        <f aca="false">(H9-G9)*ASSUMPTIONS!C36*H11</f>
        <v>650000</v>
      </c>
      <c r="I17" s="33" t="s">
        <v>249</v>
      </c>
    </row>
    <row r="18" customFormat="false" ht="15.75" hidden="false" customHeight="true" outlineLevel="0" collapsed="false">
      <c r="B18" s="9" t="s">
        <v>250</v>
      </c>
      <c r="D18" s="37" t="n">
        <f aca="false">0</f>
        <v>0</v>
      </c>
      <c r="E18" s="37" t="n">
        <f aca="false">ASSUMPTIONS!C37</f>
        <v>100000</v>
      </c>
      <c r="F18" s="37" t="n">
        <f aca="false">ASSUMPTIONS!C38</f>
        <v>250000</v>
      </c>
      <c r="G18" s="37" t="n">
        <f aca="false">ASSUMPTIONS!C39</f>
        <v>500000</v>
      </c>
      <c r="H18" s="37" t="n">
        <f aca="false">ASSUMPTIONS!C40</f>
        <v>900000</v>
      </c>
      <c r="I18" s="33" t="s">
        <v>251</v>
      </c>
    </row>
    <row r="19" customFormat="false" ht="15.75" hidden="false" customHeight="true" outlineLevel="0" collapsed="false">
      <c r="B19" s="9" t="s">
        <v>252</v>
      </c>
      <c r="D19" s="37" t="n">
        <f aca="false">0</f>
        <v>0</v>
      </c>
      <c r="E19" s="37" t="n">
        <f aca="false">ASSUMPTIONS!C41</f>
        <v>30000</v>
      </c>
      <c r="F19" s="37" t="n">
        <f aca="false">ASSUMPTIONS!C42</f>
        <v>120000</v>
      </c>
      <c r="G19" s="37" t="n">
        <f aca="false">ASSUMPTIONS!C43</f>
        <v>350000</v>
      </c>
      <c r="H19" s="37" t="n">
        <f aca="false">ASSUMPTIONS!C44</f>
        <v>800000</v>
      </c>
      <c r="I19" s="33" t="s">
        <v>253</v>
      </c>
    </row>
    <row r="20" customFormat="false" ht="15.75" hidden="false" customHeight="true" outlineLevel="0" collapsed="false">
      <c r="B20" s="9" t="s">
        <v>254</v>
      </c>
      <c r="D20" s="37" t="n">
        <f aca="false">ASSUMPTIONS!C45</f>
        <v>80000</v>
      </c>
      <c r="E20" s="37" t="n">
        <f aca="false">0</f>
        <v>0</v>
      </c>
      <c r="F20" s="37" t="n">
        <f aca="false">0</f>
        <v>0</v>
      </c>
      <c r="G20" s="37" t="n">
        <f aca="false">0</f>
        <v>0</v>
      </c>
      <c r="H20" s="37" t="n">
        <f aca="false">0</f>
        <v>0</v>
      </c>
      <c r="I20" s="33" t="s">
        <v>255</v>
      </c>
    </row>
    <row r="21" customFormat="false" ht="15.75" hidden="false" customHeight="true" outlineLevel="0" collapsed="false">
      <c r="B21" s="38" t="s">
        <v>256</v>
      </c>
      <c r="D21" s="39" t="n">
        <f aca="false">SUM(D13:D20)</f>
        <v>202500</v>
      </c>
      <c r="E21" s="39" t="n">
        <f aca="false">SUM(E13:E20)</f>
        <v>488750</v>
      </c>
      <c r="F21" s="39" t="n">
        <f aca="false">SUM(F13:F20)</f>
        <v>1245000</v>
      </c>
      <c r="G21" s="39" t="n">
        <f aca="false">SUM(G13:G20)</f>
        <v>2896250</v>
      </c>
      <c r="H21" s="39" t="n">
        <f aca="false">SUM(H13:H20)</f>
        <v>6687500</v>
      </c>
    </row>
    <row r="22" customFormat="false" ht="15.75" hidden="false" customHeight="true" outlineLevel="0" collapsed="false">
      <c r="B22" s="40" t="s">
        <v>257</v>
      </c>
      <c r="D22" s="41" t="s">
        <v>258</v>
      </c>
      <c r="E22" s="42" t="n">
        <f aca="false">IFERROR((E21-D21)/D21,"-")</f>
        <v>1.41358024691358</v>
      </c>
      <c r="F22" s="42" t="n">
        <f aca="false">IFERROR((F21-E21)/E21,"-")</f>
        <v>1.54731457800512</v>
      </c>
      <c r="G22" s="42" t="n">
        <f aca="false">IFERROR((G21-F21)/F21,"-")</f>
        <v>1.32630522088353</v>
      </c>
      <c r="H22" s="42" t="n">
        <f aca="false">IFERROR((H21-G21)/G21,"-")</f>
        <v>1.3090202848511</v>
      </c>
    </row>
    <row r="24" customFormat="false" ht="18" hidden="false" customHeight="true" outlineLevel="0" collapsed="false">
      <c r="B24" s="14" t="s">
        <v>259</v>
      </c>
      <c r="C24" s="14"/>
      <c r="D24" s="14"/>
      <c r="E24" s="14"/>
      <c r="F24" s="14"/>
      <c r="G24" s="14"/>
      <c r="H24" s="14"/>
    </row>
    <row r="25" customFormat="false" ht="15" hidden="false" customHeight="true" outlineLevel="0" collapsed="false">
      <c r="B25" s="24" t="s">
        <v>260</v>
      </c>
      <c r="D25" s="43" t="n">
        <f aca="false">IFERROR(D13/D21,0)</f>
        <v>0.0740740740740741</v>
      </c>
      <c r="E25" s="43" t="n">
        <f aca="false">IFERROR(E13/E21,0)</f>
        <v>0.184143222506394</v>
      </c>
      <c r="F25" s="43" t="n">
        <f aca="false">IFERROR(F13/F21,0)</f>
        <v>0.289156626506024</v>
      </c>
      <c r="G25" s="43" t="n">
        <f aca="false">IFERROR(G13/G21,0)</f>
        <v>0.414328873543375</v>
      </c>
      <c r="H25" s="43" t="n">
        <f aca="false">IFERROR(H13/H21,0)</f>
        <v>0.538317757009346</v>
      </c>
    </row>
    <row r="26" customFormat="false" ht="15" hidden="false" customHeight="true" outlineLevel="0" collapsed="false">
      <c r="B26" s="24" t="s">
        <v>261</v>
      </c>
      <c r="D26" s="43" t="n">
        <f aca="false">IFERROR(D14/D21,0)</f>
        <v>0.0617283950617284</v>
      </c>
      <c r="E26" s="43" t="n">
        <f aca="false">IFERROR(E14/E21,0)</f>
        <v>0.0383631713554987</v>
      </c>
      <c r="F26" s="43" t="n">
        <f aca="false">IFERROR(F14/F21,0)</f>
        <v>0.0200803212851406</v>
      </c>
      <c r="G26" s="43" t="n">
        <f aca="false">IFERROR(G14/G21,0)</f>
        <v>0.0107898144151921</v>
      </c>
      <c r="H26" s="43" t="n">
        <f aca="false">IFERROR(H14/H21,0)</f>
        <v>0.00560747663551402</v>
      </c>
    </row>
    <row r="27" customFormat="false" ht="15" hidden="false" customHeight="true" outlineLevel="0" collapsed="false">
      <c r="B27" s="24" t="s">
        <v>262</v>
      </c>
      <c r="D27" s="43" t="n">
        <f aca="false">IFERROR(D15/D21,0)</f>
        <v>0.246913580246914</v>
      </c>
      <c r="E27" s="43" t="n">
        <f aca="false">IFERROR(E15/E21,0)</f>
        <v>0.255754475703325</v>
      </c>
      <c r="F27" s="43" t="n">
        <f aca="false">IFERROR(F15/F21,0)</f>
        <v>0.180722891566265</v>
      </c>
      <c r="G27" s="43" t="n">
        <f aca="false">IFERROR(G15/G21,0)</f>
        <v>0.120845921450151</v>
      </c>
      <c r="H27" s="43" t="n">
        <f aca="false">IFERROR(H15/H21,0)</f>
        <v>0.0747663551401869</v>
      </c>
    </row>
    <row r="28" customFormat="false" ht="15" hidden="false" customHeight="true" outlineLevel="0" collapsed="false">
      <c r="B28" s="24" t="s">
        <v>263</v>
      </c>
      <c r="D28" s="43" t="n">
        <f aca="false">IFERROR(D16/D21,0)</f>
        <v>0.0987654320987654</v>
      </c>
      <c r="E28" s="43" t="n">
        <f aca="false">IFERROR(E16/E21,0)</f>
        <v>0.10230179028133</v>
      </c>
      <c r="F28" s="43" t="n">
        <f aca="false">IFERROR(F16/F21,0)</f>
        <v>0.072289156626506</v>
      </c>
      <c r="G28" s="43" t="n">
        <f aca="false">IFERROR(G16/G21,0)</f>
        <v>0.0483383685800604</v>
      </c>
      <c r="H28" s="43" t="n">
        <f aca="false">IFERROR(H16/H21,0)</f>
        <v>0.0299065420560748</v>
      </c>
    </row>
    <row r="29" customFormat="false" ht="15" hidden="false" customHeight="true" outlineLevel="0" collapsed="false">
      <c r="B29" s="24" t="s">
        <v>264</v>
      </c>
      <c r="D29" s="43" t="n">
        <f aca="false">IFERROR(D17/D21,0)</f>
        <v>0.123456790123457</v>
      </c>
      <c r="E29" s="43" t="n">
        <f aca="false">IFERROR(E17/E21,0)</f>
        <v>0.153452685421995</v>
      </c>
      <c r="F29" s="43" t="n">
        <f aca="false">IFERROR(F17/F21,0)</f>
        <v>0.140562248995984</v>
      </c>
      <c r="G29" s="43" t="n">
        <f aca="false">IFERROR(G17/G21,0)</f>
        <v>0.112214069917997</v>
      </c>
      <c r="H29" s="43" t="n">
        <f aca="false">IFERROR(H17/H21,0)</f>
        <v>0.097196261682243</v>
      </c>
    </row>
    <row r="30" customFormat="false" ht="15" hidden="false" customHeight="true" outlineLevel="0" collapsed="false">
      <c r="B30" s="24" t="s">
        <v>265</v>
      </c>
      <c r="D30" s="43" t="n">
        <f aca="false">IFERROR(D18/D21,0)</f>
        <v>0</v>
      </c>
      <c r="E30" s="43" t="n">
        <f aca="false">IFERROR(E18/E21,0)</f>
        <v>0.20460358056266</v>
      </c>
      <c r="F30" s="43" t="n">
        <f aca="false">IFERROR(F18/F21,0)</f>
        <v>0.200803212851406</v>
      </c>
      <c r="G30" s="43" t="n">
        <f aca="false">IFERROR(G18/G21,0)</f>
        <v>0.172637030643073</v>
      </c>
      <c r="H30" s="43" t="n">
        <f aca="false">IFERROR(H18/H21,0)</f>
        <v>0.134579439252336</v>
      </c>
    </row>
    <row r="31" customFormat="false" ht="15" hidden="false" customHeight="true" outlineLevel="0" collapsed="false">
      <c r="B31" s="24" t="s">
        <v>266</v>
      </c>
      <c r="D31" s="43" t="n">
        <f aca="false">IFERROR(D19/D21,0)</f>
        <v>0</v>
      </c>
      <c r="E31" s="43" t="n">
        <f aca="false">IFERROR(E19/E21,0)</f>
        <v>0.061381074168798</v>
      </c>
      <c r="F31" s="43" t="n">
        <f aca="false">IFERROR(F19/F21,0)</f>
        <v>0.0963855421686747</v>
      </c>
      <c r="G31" s="43" t="n">
        <f aca="false">IFERROR(G19/G21,0)</f>
        <v>0.120845921450151</v>
      </c>
      <c r="H31" s="43" t="n">
        <f aca="false">IFERROR(H19/H21,0)</f>
        <v>0.119626168224299</v>
      </c>
    </row>
    <row r="32" customFormat="false" ht="15" hidden="false" customHeight="true" outlineLevel="0" collapsed="false">
      <c r="B32" s="24" t="s">
        <v>267</v>
      </c>
      <c r="D32" s="43" t="n">
        <f aca="false">IFERROR(D20/D21,0)</f>
        <v>0.395061728395062</v>
      </c>
      <c r="E32" s="43" t="n">
        <f aca="false">IFERROR(E20/E21,0)</f>
        <v>0</v>
      </c>
      <c r="F32" s="43" t="n">
        <f aca="false">IFERROR(F20/F21,0)</f>
        <v>0</v>
      </c>
      <c r="G32" s="43" t="n">
        <f aca="false">IFERROR(G20/G21,0)</f>
        <v>0</v>
      </c>
      <c r="H32" s="43" t="n">
        <f aca="false">IFERROR(H20/H21,0)</f>
        <v>0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8" min="4" style="1" width="14"/>
    <col collapsed="false" customWidth="true" hidden="false" outlineLevel="0" max="9" min="9" style="1" width="25"/>
  </cols>
  <sheetData>
    <row r="1" customFormat="false" ht="27.75" hidden="false" customHeight="true" outlineLevel="0" collapsed="false">
      <c r="B1" s="17" t="s">
        <v>268</v>
      </c>
      <c r="C1" s="17"/>
      <c r="D1" s="17"/>
      <c r="E1" s="17"/>
      <c r="F1" s="17"/>
      <c r="G1" s="17"/>
      <c r="H1" s="17"/>
    </row>
    <row r="2" customFormat="false" ht="18" hidden="false" customHeight="true" outlineLevel="0" collapsed="false">
      <c r="B2" s="31" t="s">
        <v>269</v>
      </c>
      <c r="C2" s="31"/>
      <c r="D2" s="31"/>
      <c r="E2" s="31"/>
      <c r="F2" s="31"/>
      <c r="G2" s="31"/>
      <c r="H2" s="31"/>
    </row>
    <row r="3" customFormat="false" ht="6" hidden="false" customHeight="true" outlineLevel="0" collapsed="false"/>
    <row r="4" customFormat="false" ht="21.75" hidden="false" customHeight="true" outlineLevel="0" collapsed="false">
      <c r="B4" s="19" t="s">
        <v>270</v>
      </c>
      <c r="C4" s="20" t="s">
        <v>221</v>
      </c>
      <c r="D4" s="20" t="s">
        <v>222</v>
      </c>
      <c r="E4" s="20" t="s">
        <v>223</v>
      </c>
      <c r="F4" s="20" t="s">
        <v>224</v>
      </c>
      <c r="G4" s="20" t="s">
        <v>225</v>
      </c>
      <c r="H4" s="20" t="s">
        <v>56</v>
      </c>
    </row>
    <row r="5" customFormat="false" ht="18" hidden="false" customHeight="true" outlineLevel="0" collapsed="false">
      <c r="B5" s="14" t="s">
        <v>271</v>
      </c>
      <c r="C5" s="14"/>
      <c r="D5" s="14"/>
      <c r="E5" s="14"/>
      <c r="F5" s="14"/>
      <c r="G5" s="14"/>
      <c r="H5" s="14"/>
    </row>
    <row r="6" customFormat="false" ht="15.75" hidden="false" customHeight="true" outlineLevel="0" collapsed="false">
      <c r="B6" s="9" t="s">
        <v>272</v>
      </c>
      <c r="D6" s="37" t="n">
        <f aca="false">0</f>
        <v>0</v>
      </c>
      <c r="E6" s="37" t="n">
        <f aca="false">ASSUMPTIONS!C48</f>
        <v>36000</v>
      </c>
      <c r="F6" s="37" t="n">
        <f aca="false">ASSUMPTIONS!C48</f>
        <v>36000</v>
      </c>
      <c r="G6" s="37" t="n">
        <f aca="false">ASSUMPTIONS!C48</f>
        <v>36000</v>
      </c>
      <c r="H6" s="37" t="n">
        <f aca="false">ASSUMPTIONS!C48</f>
        <v>36000</v>
      </c>
      <c r="I6" s="33" t="s">
        <v>273</v>
      </c>
    </row>
    <row r="7" customFormat="false" ht="15.75" hidden="false" customHeight="true" outlineLevel="0" collapsed="false">
      <c r="B7" s="9" t="s">
        <v>274</v>
      </c>
      <c r="D7" s="37" t="n">
        <f aca="false">0</f>
        <v>0</v>
      </c>
      <c r="E7" s="37" t="n">
        <f aca="false">ASSUMPTIONS!C49</f>
        <v>36000</v>
      </c>
      <c r="F7" s="37" t="n">
        <f aca="false">ASSUMPTIONS!C49</f>
        <v>36000</v>
      </c>
      <c r="G7" s="37" t="n">
        <f aca="false">ASSUMPTIONS!C49</f>
        <v>36000</v>
      </c>
      <c r="H7" s="37" t="n">
        <f aca="false">ASSUMPTIONS!C49</f>
        <v>36000</v>
      </c>
      <c r="I7" s="33" t="s">
        <v>273</v>
      </c>
    </row>
    <row r="8" customFormat="false" ht="15.75" hidden="false" customHeight="true" outlineLevel="0" collapsed="false">
      <c r="B8" s="9" t="s">
        <v>275</v>
      </c>
      <c r="D8" s="37" t="n">
        <f aca="false">ASSUMPTIONS!C50*0.75</f>
        <v>18000</v>
      </c>
      <c r="E8" s="37" t="n">
        <f aca="false">ASSUMPTIONS!C50</f>
        <v>24000</v>
      </c>
      <c r="F8" s="37" t="n">
        <f aca="false">ASSUMPTIONS!C50</f>
        <v>24000</v>
      </c>
      <c r="G8" s="37" t="n">
        <f aca="false">ASSUMPTIONS!C50</f>
        <v>24000</v>
      </c>
      <c r="H8" s="37" t="n">
        <f aca="false">ASSUMPTIONS!C50</f>
        <v>24000</v>
      </c>
      <c r="I8" s="33" t="s">
        <v>276</v>
      </c>
    </row>
    <row r="9" customFormat="false" ht="15.75" hidden="false" customHeight="true" outlineLevel="0" collapsed="false">
      <c r="B9" s="9" t="s">
        <v>277</v>
      </c>
      <c r="D9" s="37" t="n">
        <f aca="false">ASSUMPTIONS!C51*0.75</f>
        <v>13500</v>
      </c>
      <c r="E9" s="37" t="n">
        <f aca="false">ASSUMPTIONS!C51</f>
        <v>18000</v>
      </c>
      <c r="F9" s="37" t="n">
        <f aca="false">ASSUMPTIONS!C51</f>
        <v>18000</v>
      </c>
      <c r="G9" s="37" t="n">
        <f aca="false">ASSUMPTIONS!C51</f>
        <v>18000</v>
      </c>
      <c r="H9" s="37" t="n">
        <f aca="false">ASSUMPTIONS!C51</f>
        <v>18000</v>
      </c>
      <c r="I9" s="33" t="s">
        <v>278</v>
      </c>
    </row>
    <row r="10" customFormat="false" ht="15.75" hidden="false" customHeight="true" outlineLevel="0" collapsed="false">
      <c r="B10" s="9" t="s">
        <v>279</v>
      </c>
      <c r="D10" s="37" t="n">
        <f aca="false">ASSUMPTIONS!C52*0.5</f>
        <v>12000</v>
      </c>
      <c r="E10" s="37" t="n">
        <f aca="false">ASSUMPTIONS!C52</f>
        <v>24000</v>
      </c>
      <c r="F10" s="37" t="n">
        <f aca="false">ASSUMPTIONS!C52</f>
        <v>24000</v>
      </c>
      <c r="G10" s="37" t="n">
        <f aca="false">ASSUMPTIONS!C52</f>
        <v>24000</v>
      </c>
      <c r="H10" s="37" t="n">
        <f aca="false">ASSUMPTIONS!C52</f>
        <v>24000</v>
      </c>
      <c r="I10" s="33" t="s">
        <v>280</v>
      </c>
    </row>
    <row r="11" customFormat="false" ht="15.75" hidden="false" customHeight="true" outlineLevel="0" collapsed="false">
      <c r="B11" s="9" t="s">
        <v>281</v>
      </c>
      <c r="D11" s="37" t="n">
        <f aca="false">ASSUMPTIONS!C53*0.5</f>
        <v>9000</v>
      </c>
      <c r="E11" s="37" t="n">
        <f aca="false">ASSUMPTIONS!C53</f>
        <v>18000</v>
      </c>
      <c r="F11" s="37" t="n">
        <f aca="false">ASSUMPTIONS!C53</f>
        <v>18000</v>
      </c>
      <c r="G11" s="37" t="n">
        <f aca="false">ASSUMPTIONS!C53</f>
        <v>18000</v>
      </c>
      <c r="H11" s="37" t="n">
        <f aca="false">ASSUMPTIONS!C53</f>
        <v>18000</v>
      </c>
      <c r="I11" s="33" t="s">
        <v>280</v>
      </c>
    </row>
    <row r="12" customFormat="false" ht="15.75" hidden="false" customHeight="true" outlineLevel="0" collapsed="false">
      <c r="B12" s="9" t="s">
        <v>282</v>
      </c>
      <c r="D12" s="37" t="n">
        <f aca="false">ASSUMPTIONS!C54*0.25</f>
        <v>4500</v>
      </c>
      <c r="E12" s="37" t="n">
        <f aca="false">ASSUMPTIONS!C54</f>
        <v>18000</v>
      </c>
      <c r="F12" s="37" t="n">
        <f aca="false">ASSUMPTIONS!C54</f>
        <v>18000</v>
      </c>
      <c r="G12" s="37" t="n">
        <f aca="false">ASSUMPTIONS!C54</f>
        <v>18000</v>
      </c>
      <c r="H12" s="37" t="n">
        <f aca="false">ASSUMPTIONS!C54</f>
        <v>18000</v>
      </c>
      <c r="I12" s="33" t="s">
        <v>283</v>
      </c>
    </row>
    <row r="13" customFormat="false" ht="15.75" hidden="false" customHeight="true" outlineLevel="0" collapsed="false">
      <c r="B13" s="9" t="s">
        <v>284</v>
      </c>
      <c r="D13" s="37" t="n">
        <f aca="false">ASSUMPTIONS!C55*0.25</f>
        <v>3750</v>
      </c>
      <c r="E13" s="37" t="n">
        <f aca="false">ASSUMPTIONS!C55</f>
        <v>15000</v>
      </c>
      <c r="F13" s="37" t="n">
        <f aca="false">ASSUMPTIONS!C55</f>
        <v>15000</v>
      </c>
      <c r="G13" s="37" t="n">
        <f aca="false">ASSUMPTIONS!C55</f>
        <v>15000</v>
      </c>
      <c r="H13" s="37" t="n">
        <f aca="false">ASSUMPTIONS!C55</f>
        <v>15000</v>
      </c>
      <c r="I13" s="33" t="s">
        <v>283</v>
      </c>
    </row>
    <row r="14" customFormat="false" ht="15.75" hidden="false" customHeight="true" outlineLevel="0" collapsed="false">
      <c r="B14" s="9" t="s">
        <v>285</v>
      </c>
      <c r="D14" s="37" t="n">
        <f aca="false">0</f>
        <v>0</v>
      </c>
      <c r="E14" s="37" t="n">
        <f aca="false">ASSUMPTIONS!C56</f>
        <v>60000</v>
      </c>
      <c r="F14" s="37" t="n">
        <f aca="false">ASSUMPTIONS!C57</f>
        <v>120000</v>
      </c>
      <c r="G14" s="37" t="n">
        <f aca="false">ASSUMPTIONS!C58</f>
        <v>200000</v>
      </c>
      <c r="H14" s="37" t="n">
        <f aca="false">ASSUMPTIONS!C59</f>
        <v>350000</v>
      </c>
      <c r="I14" s="33" t="s">
        <v>286</v>
      </c>
    </row>
    <row r="15" customFormat="false" ht="15.75" hidden="false" customHeight="true" outlineLevel="0" collapsed="false">
      <c r="B15" s="38" t="s">
        <v>287</v>
      </c>
      <c r="D15" s="39" t="n">
        <f aca="false">SUM(D6:D14)</f>
        <v>60750</v>
      </c>
      <c r="E15" s="39" t="n">
        <f aca="false">SUM(E6:E14)</f>
        <v>249000</v>
      </c>
      <c r="F15" s="39" t="n">
        <f aca="false">SUM(F6:F14)</f>
        <v>309000</v>
      </c>
      <c r="G15" s="39" t="n">
        <f aca="false">SUM(G6:G14)</f>
        <v>389000</v>
      </c>
      <c r="H15" s="39" t="n">
        <f aca="false">SUM(H6:H14)</f>
        <v>539000</v>
      </c>
    </row>
    <row r="16" customFormat="false" ht="18" hidden="false" customHeight="true" outlineLevel="0" collapsed="false">
      <c r="B16" s="14" t="s">
        <v>288</v>
      </c>
      <c r="C16" s="14"/>
      <c r="D16" s="14"/>
      <c r="E16" s="14"/>
      <c r="F16" s="14"/>
      <c r="G16" s="14"/>
      <c r="H16" s="14"/>
    </row>
    <row r="17" customFormat="false" ht="15.75" hidden="false" customHeight="true" outlineLevel="0" collapsed="false">
      <c r="B17" s="9" t="s">
        <v>289</v>
      </c>
      <c r="D17" s="37" t="n">
        <f aca="false">ASSUMPTIONS!C61</f>
        <v>12000</v>
      </c>
      <c r="E17" s="37" t="n">
        <f aca="false">D17*(1+ASSUMPTIONS!C62)</f>
        <v>15000</v>
      </c>
      <c r="F17" s="37" t="n">
        <f aca="false">E17*(1+ASSUMPTIONS!C62)</f>
        <v>18750</v>
      </c>
      <c r="G17" s="37" t="n">
        <f aca="false">F17*(1+ASSUMPTIONS!C62)</f>
        <v>23437.5</v>
      </c>
      <c r="H17" s="37" t="n">
        <f aca="false">G17*(1+ASSUMPTIONS!C62)</f>
        <v>29296.875</v>
      </c>
      <c r="I17" s="33" t="s">
        <v>290</v>
      </c>
    </row>
    <row r="18" customFormat="false" ht="15.75" hidden="false" customHeight="true" outlineLevel="0" collapsed="false">
      <c r="B18" s="9" t="s">
        <v>291</v>
      </c>
      <c r="D18" s="37" t="n">
        <f aca="false">ASSUMPTIONS!C63</f>
        <v>3600</v>
      </c>
      <c r="E18" s="37" t="n">
        <f aca="false">D18*(1+ASSUMPTIONS!C64)</f>
        <v>4680</v>
      </c>
      <c r="F18" s="37" t="n">
        <f aca="false">E18*(1+ASSUMPTIONS!C64)</f>
        <v>6084</v>
      </c>
      <c r="G18" s="37" t="n">
        <f aca="false">F18*(1+ASSUMPTIONS!C64)</f>
        <v>7909.2</v>
      </c>
      <c r="H18" s="37" t="n">
        <f aca="false">G18*(1+ASSUMPTIONS!C64)</f>
        <v>10281.96</v>
      </c>
      <c r="I18" s="33" t="s">
        <v>171</v>
      </c>
    </row>
    <row r="19" customFormat="false" ht="15.75" hidden="false" customHeight="true" outlineLevel="0" collapsed="false">
      <c r="B19" s="9" t="s">
        <v>292</v>
      </c>
      <c r="D19" s="37" t="n">
        <f aca="false">3600</f>
        <v>3600</v>
      </c>
      <c r="E19" s="37" t="n">
        <f aca="false">3600</f>
        <v>3600</v>
      </c>
      <c r="F19" s="37" t="n">
        <f aca="false">5400</f>
        <v>5400</v>
      </c>
      <c r="G19" s="37" t="n">
        <f aca="false">7200</f>
        <v>7200</v>
      </c>
      <c r="H19" s="37" t="n">
        <f aca="false">9000</f>
        <v>9000</v>
      </c>
      <c r="I19" s="33" t="s">
        <v>293</v>
      </c>
    </row>
    <row r="20" customFormat="false" ht="15.75" hidden="false" customHeight="true" outlineLevel="0" collapsed="false">
      <c r="B20" s="9" t="s">
        <v>294</v>
      </c>
      <c r="D20" s="37" t="n">
        <f aca="false">ASSUMPTIONS!C71</f>
        <v>8000</v>
      </c>
      <c r="E20" s="37" t="n">
        <f aca="false">ASSUMPTIONS!C71</f>
        <v>8000</v>
      </c>
      <c r="F20" s="37" t="n">
        <f aca="false">ASSUMPTIONS!C71</f>
        <v>8000</v>
      </c>
      <c r="G20" s="37" t="n">
        <f aca="false">ASSUMPTIONS!C71</f>
        <v>8000</v>
      </c>
      <c r="H20" s="37" t="n">
        <f aca="false">ASSUMPTIONS!C71</f>
        <v>8000</v>
      </c>
      <c r="I20" s="33" t="s">
        <v>189</v>
      </c>
    </row>
    <row r="21" customFormat="false" ht="15.75" hidden="false" customHeight="true" outlineLevel="0" collapsed="false">
      <c r="B21" s="9" t="s">
        <v>295</v>
      </c>
      <c r="D21" s="37" t="n">
        <f aca="false">5000</f>
        <v>5000</v>
      </c>
      <c r="E21" s="37" t="n">
        <f aca="false">6000</f>
        <v>6000</v>
      </c>
      <c r="F21" s="37" t="n">
        <f aca="false">8000</f>
        <v>8000</v>
      </c>
      <c r="G21" s="37" t="n">
        <f aca="false">10000</f>
        <v>10000</v>
      </c>
      <c r="H21" s="37" t="n">
        <f aca="false">12000</f>
        <v>12000</v>
      </c>
      <c r="I21" s="33" t="s">
        <v>296</v>
      </c>
    </row>
    <row r="22" customFormat="false" ht="15.75" hidden="false" customHeight="true" outlineLevel="0" collapsed="false">
      <c r="B22" s="38" t="s">
        <v>297</v>
      </c>
      <c r="D22" s="39" t="n">
        <f aca="false">SUM(D17:D21)</f>
        <v>32200</v>
      </c>
      <c r="E22" s="39" t="n">
        <f aca="false">SUM(E17:E21)</f>
        <v>37280</v>
      </c>
      <c r="F22" s="39" t="n">
        <f aca="false">SUM(F17:F21)</f>
        <v>46234</v>
      </c>
      <c r="G22" s="39" t="n">
        <f aca="false">SUM(G17:G21)</f>
        <v>56546.7</v>
      </c>
      <c r="H22" s="39" t="n">
        <f aca="false">SUM(H17:H21)</f>
        <v>68578.835</v>
      </c>
    </row>
    <row r="23" customFormat="false" ht="18" hidden="false" customHeight="true" outlineLevel="0" collapsed="false">
      <c r="B23" s="14" t="s">
        <v>298</v>
      </c>
      <c r="C23" s="14"/>
      <c r="D23" s="14"/>
      <c r="E23" s="14"/>
      <c r="F23" s="14"/>
      <c r="G23" s="14"/>
      <c r="H23" s="14"/>
    </row>
    <row r="24" customFormat="false" ht="15.75" hidden="false" customHeight="true" outlineLevel="0" collapsed="false">
      <c r="B24" s="9" t="s">
        <v>299</v>
      </c>
      <c r="D24" s="37" t="n">
        <f aca="false">ASSUMPTIONS!C65</f>
        <v>60000</v>
      </c>
      <c r="E24" s="37" t="n">
        <f aca="false">ASSUMPTIONS!C66</f>
        <v>15000</v>
      </c>
      <c r="F24" s="37" t="n">
        <f aca="false">ASSUMPTIONS!C66</f>
        <v>15000</v>
      </c>
      <c r="G24" s="37" t="n">
        <f aca="false">ASSUMPTIONS!C66</f>
        <v>15000</v>
      </c>
      <c r="H24" s="37" t="n">
        <f aca="false">ASSUMPTIONS!C66</f>
        <v>15000</v>
      </c>
      <c r="I24" s="33" t="s">
        <v>300</v>
      </c>
    </row>
    <row r="25" customFormat="false" ht="15.75" hidden="false" customHeight="true" outlineLevel="0" collapsed="false">
      <c r="B25" s="9" t="s">
        <v>301</v>
      </c>
      <c r="D25" s="37" t="n">
        <f aca="false">ASSUMPTIONS!C67</f>
        <v>25000</v>
      </c>
      <c r="E25" s="37" t="n">
        <f aca="false">ASSUMPTIONS!C68</f>
        <v>15000</v>
      </c>
      <c r="F25" s="37" t="n">
        <f aca="false">ASSUMPTIONS!C68</f>
        <v>15000</v>
      </c>
      <c r="G25" s="37" t="n">
        <f aca="false">ASSUMPTIONS!C68*1.2</f>
        <v>18000</v>
      </c>
      <c r="H25" s="37" t="n">
        <f aca="false">ASSUMPTIONS!C68*1.5</f>
        <v>22500</v>
      </c>
      <c r="I25" s="33" t="s">
        <v>302</v>
      </c>
    </row>
    <row r="26" customFormat="false" ht="15.75" hidden="false" customHeight="true" outlineLevel="0" collapsed="false">
      <c r="B26" s="9" t="s">
        <v>303</v>
      </c>
      <c r="D26" s="37" t="n">
        <f aca="false">8000</f>
        <v>8000</v>
      </c>
      <c r="E26" s="37" t="n">
        <f aca="false">12000</f>
        <v>12000</v>
      </c>
      <c r="F26" s="37" t="n">
        <f aca="false">18000</f>
        <v>18000</v>
      </c>
      <c r="G26" s="37" t="n">
        <f aca="false">25000</f>
        <v>25000</v>
      </c>
      <c r="H26" s="37" t="n">
        <f aca="false">35000</f>
        <v>35000</v>
      </c>
      <c r="I26" s="33" t="s">
        <v>304</v>
      </c>
    </row>
    <row r="27" customFormat="false" ht="15.75" hidden="false" customHeight="true" outlineLevel="0" collapsed="false">
      <c r="B27" s="9" t="s">
        <v>305</v>
      </c>
      <c r="D27" s="37" t="n">
        <f aca="false">0</f>
        <v>0</v>
      </c>
      <c r="E27" s="37" t="n">
        <f aca="false">5000</f>
        <v>5000</v>
      </c>
      <c r="F27" s="37" t="n">
        <f aca="false">8000</f>
        <v>8000</v>
      </c>
      <c r="G27" s="37" t="n">
        <f aca="false">10000</f>
        <v>10000</v>
      </c>
      <c r="H27" s="37" t="n">
        <f aca="false">12000</f>
        <v>12000</v>
      </c>
      <c r="I27" s="33" t="s">
        <v>306</v>
      </c>
    </row>
    <row r="28" customFormat="false" ht="15.75" hidden="false" customHeight="true" outlineLevel="0" collapsed="false">
      <c r="B28" s="38" t="s">
        <v>307</v>
      </c>
      <c r="D28" s="39" t="n">
        <f aca="false">SUM(D24:D27)</f>
        <v>93000</v>
      </c>
      <c r="E28" s="39" t="n">
        <f aca="false">SUM(E24:E27)</f>
        <v>47000</v>
      </c>
      <c r="F28" s="39" t="n">
        <f aca="false">SUM(F24:F27)</f>
        <v>56000</v>
      </c>
      <c r="G28" s="39" t="n">
        <f aca="false">SUM(G24:G27)</f>
        <v>68000</v>
      </c>
      <c r="H28" s="39" t="n">
        <f aca="false">SUM(H24:H27)</f>
        <v>84500</v>
      </c>
    </row>
    <row r="29" customFormat="false" ht="18" hidden="false" customHeight="true" outlineLevel="0" collapsed="false">
      <c r="B29" s="14" t="s">
        <v>308</v>
      </c>
      <c r="C29" s="14"/>
      <c r="D29" s="14"/>
      <c r="E29" s="14"/>
      <c r="F29" s="14"/>
      <c r="G29" s="14"/>
      <c r="H29" s="14"/>
    </row>
    <row r="30" customFormat="false" ht="15.75" hidden="false" customHeight="true" outlineLevel="0" collapsed="false">
      <c r="B30" s="9" t="s">
        <v>309</v>
      </c>
      <c r="D30" s="37" t="n">
        <f aca="false">ASSUMPTIONS!C69*0.5</f>
        <v>7500</v>
      </c>
      <c r="E30" s="37" t="n">
        <f aca="false">D30*(1+ASSUMPTIONS!C70)</f>
        <v>11250</v>
      </c>
      <c r="F30" s="37" t="n">
        <f aca="false">E30*(1+ASSUMPTIONS!C70)</f>
        <v>16875</v>
      </c>
      <c r="G30" s="37" t="n">
        <f aca="false">F30*(1+ASSUMPTIONS!C70)</f>
        <v>25312.5</v>
      </c>
      <c r="H30" s="37" t="n">
        <f aca="false">G30*(1+ASSUMPTIONS!C70)</f>
        <v>37968.75</v>
      </c>
      <c r="I30" s="33" t="s">
        <v>310</v>
      </c>
    </row>
    <row r="31" customFormat="false" ht="15.75" hidden="false" customHeight="true" outlineLevel="0" collapsed="false">
      <c r="B31" s="9" t="s">
        <v>311</v>
      </c>
      <c r="D31" s="37" t="n">
        <f aca="false">ASSUMPTIONS!C69*0.3</f>
        <v>4500</v>
      </c>
      <c r="E31" s="37" t="n">
        <f aca="false">8000</f>
        <v>8000</v>
      </c>
      <c r="F31" s="37" t="n">
        <f aca="false">15000</f>
        <v>15000</v>
      </c>
      <c r="G31" s="37" t="n">
        <f aca="false">25000</f>
        <v>25000</v>
      </c>
      <c r="H31" s="37" t="n">
        <f aca="false">40000</f>
        <v>40000</v>
      </c>
      <c r="I31" s="33" t="s">
        <v>312</v>
      </c>
    </row>
    <row r="32" customFormat="false" ht="15.75" hidden="false" customHeight="true" outlineLevel="0" collapsed="false">
      <c r="B32" s="9" t="s">
        <v>313</v>
      </c>
      <c r="D32" s="37" t="n">
        <f aca="false">ASSUMPTIONS!C69*0.2</f>
        <v>3000</v>
      </c>
      <c r="E32" s="37" t="n">
        <f aca="false">10000</f>
        <v>10000</v>
      </c>
      <c r="F32" s="37" t="n">
        <f aca="false">20000</f>
        <v>20000</v>
      </c>
      <c r="G32" s="37" t="n">
        <f aca="false">35000</f>
        <v>35000</v>
      </c>
      <c r="H32" s="37" t="n">
        <f aca="false">60000</f>
        <v>60000</v>
      </c>
      <c r="I32" s="33" t="s">
        <v>314</v>
      </c>
    </row>
    <row r="33" customFormat="false" ht="15.75" hidden="false" customHeight="true" outlineLevel="0" collapsed="false">
      <c r="B33" s="38" t="s">
        <v>315</v>
      </c>
      <c r="D33" s="39" t="n">
        <f aca="false">SUM(D30:D32)</f>
        <v>15000</v>
      </c>
      <c r="E33" s="39" t="n">
        <f aca="false">SUM(E30:E32)</f>
        <v>29250</v>
      </c>
      <c r="F33" s="39" t="n">
        <f aca="false">SUM(F30:F32)</f>
        <v>51875</v>
      </c>
      <c r="G33" s="39" t="n">
        <f aca="false">SUM(G30:G32)</f>
        <v>85312.5</v>
      </c>
      <c r="H33" s="39" t="n">
        <f aca="false">SUM(H30:H32)</f>
        <v>137968.75</v>
      </c>
    </row>
    <row r="34" customFormat="false" ht="18" hidden="false" customHeight="true" outlineLevel="0" collapsed="false">
      <c r="B34" s="14" t="s">
        <v>316</v>
      </c>
      <c r="C34" s="14"/>
      <c r="D34" s="14"/>
      <c r="E34" s="14"/>
      <c r="F34" s="14"/>
      <c r="G34" s="14"/>
      <c r="H34" s="14"/>
    </row>
    <row r="35" customFormat="false" ht="15.75" hidden="false" customHeight="true" outlineLevel="0" collapsed="false">
      <c r="B35" s="9" t="s">
        <v>317</v>
      </c>
      <c r="D35" s="37" t="n">
        <f aca="false">ASSUMPTIONS!C72*0.4</f>
        <v>4000</v>
      </c>
      <c r="E35" s="37" t="n">
        <f aca="false">D35*(1+ASSUMPTIONS!C73)</f>
        <v>4800</v>
      </c>
      <c r="F35" s="37" t="n">
        <f aca="false">E35*(1+ASSUMPTIONS!C73)</f>
        <v>5760</v>
      </c>
      <c r="G35" s="37" t="n">
        <f aca="false">F35*(1+ASSUMPTIONS!C73)</f>
        <v>6912</v>
      </c>
      <c r="H35" s="37" t="n">
        <f aca="false">G35*(1+ASSUMPTIONS!C73)</f>
        <v>8294.4</v>
      </c>
      <c r="I35" s="33" t="s">
        <v>318</v>
      </c>
    </row>
    <row r="36" customFormat="false" ht="15.75" hidden="false" customHeight="true" outlineLevel="0" collapsed="false">
      <c r="B36" s="9" t="s">
        <v>319</v>
      </c>
      <c r="D36" s="37" t="n">
        <f aca="false">ASSUMPTIONS!C72*0.3</f>
        <v>3000</v>
      </c>
      <c r="E36" s="37" t="n">
        <f aca="false">5000</f>
        <v>5000</v>
      </c>
      <c r="F36" s="37" t="n">
        <f aca="false">10000</f>
        <v>10000</v>
      </c>
      <c r="G36" s="37" t="n">
        <f aca="false">20000</f>
        <v>20000</v>
      </c>
      <c r="H36" s="37" t="n">
        <f aca="false">35000</f>
        <v>35000</v>
      </c>
      <c r="I36" s="33" t="s">
        <v>320</v>
      </c>
    </row>
    <row r="37" customFormat="false" ht="15.75" hidden="false" customHeight="true" outlineLevel="0" collapsed="false">
      <c r="B37" s="9" t="s">
        <v>321</v>
      </c>
      <c r="D37" s="37" t="n">
        <f aca="false">3000</f>
        <v>3000</v>
      </c>
      <c r="E37" s="37" t="n">
        <f aca="false">5000</f>
        <v>5000</v>
      </c>
      <c r="F37" s="37" t="n">
        <f aca="false">8000</f>
        <v>8000</v>
      </c>
      <c r="G37" s="37" t="n">
        <f aca="false">12000</f>
        <v>12000</v>
      </c>
      <c r="H37" s="37" t="n">
        <f aca="false">18000</f>
        <v>18000</v>
      </c>
      <c r="I37" s="33" t="s">
        <v>322</v>
      </c>
    </row>
    <row r="38" customFormat="false" ht="15.75" hidden="false" customHeight="true" outlineLevel="0" collapsed="false">
      <c r="B38" s="9" t="s">
        <v>323</v>
      </c>
      <c r="D38" s="37" t="n">
        <f aca="false">8000</f>
        <v>8000</v>
      </c>
      <c r="E38" s="37" t="n">
        <f aca="false">12000</f>
        <v>12000</v>
      </c>
      <c r="F38" s="37" t="n">
        <f aca="false">15000</f>
        <v>15000</v>
      </c>
      <c r="G38" s="37" t="n">
        <f aca="false">18000</f>
        <v>18000</v>
      </c>
      <c r="H38" s="37" t="n">
        <f aca="false">22000</f>
        <v>22000</v>
      </c>
      <c r="I38" s="33" t="s">
        <v>324</v>
      </c>
    </row>
    <row r="39" customFormat="false" ht="15.75" hidden="false" customHeight="true" outlineLevel="0" collapsed="false">
      <c r="B39" s="9" t="s">
        <v>325</v>
      </c>
      <c r="D39" s="37" t="n">
        <f aca="false">ASSUMPTIONS!C72*0.3</f>
        <v>3000</v>
      </c>
      <c r="E39" s="37" t="n">
        <f aca="false">D39*(1+ASSUMPTIONS!C73)</f>
        <v>3600</v>
      </c>
      <c r="F39" s="37" t="n">
        <f aca="false">E39*(1+ASSUMPTIONS!C73)</f>
        <v>4320</v>
      </c>
      <c r="G39" s="37" t="n">
        <f aca="false">F39*(1+ASSUMPTIONS!C73)</f>
        <v>5184</v>
      </c>
      <c r="H39" s="37" t="n">
        <f aca="false">G39*(1+ASSUMPTIONS!C73)</f>
        <v>6220.8</v>
      </c>
      <c r="I39" s="33" t="s">
        <v>326</v>
      </c>
    </row>
    <row r="40" customFormat="false" ht="15.75" hidden="false" customHeight="true" outlineLevel="0" collapsed="false">
      <c r="B40" s="38" t="s">
        <v>327</v>
      </c>
      <c r="D40" s="39" t="n">
        <f aca="false">SUM(D35:D39)</f>
        <v>21000</v>
      </c>
      <c r="E40" s="39" t="n">
        <f aca="false">SUM(E35:E39)</f>
        <v>30400</v>
      </c>
      <c r="F40" s="39" t="n">
        <f aca="false">SUM(F35:F39)</f>
        <v>43080</v>
      </c>
      <c r="G40" s="39" t="n">
        <f aca="false">SUM(G35:G39)</f>
        <v>62096</v>
      </c>
      <c r="H40" s="39" t="n">
        <f aca="false">SUM(H35:H39)</f>
        <v>89515.2</v>
      </c>
    </row>
    <row r="41" customFormat="false" ht="18" hidden="false" customHeight="true" outlineLevel="0" collapsed="false">
      <c r="B41" s="14" t="s">
        <v>328</v>
      </c>
      <c r="C41" s="14"/>
      <c r="D41" s="14"/>
      <c r="E41" s="14"/>
      <c r="F41" s="14"/>
      <c r="G41" s="14"/>
      <c r="H41" s="14"/>
    </row>
    <row r="42" customFormat="false" ht="15.75" hidden="false" customHeight="true" outlineLevel="0" collapsed="false">
      <c r="B42" s="9" t="s">
        <v>329</v>
      </c>
      <c r="D42" s="37" t="n">
        <f aca="false">0</f>
        <v>0</v>
      </c>
      <c r="E42" s="37" t="n">
        <f aca="false">D15*ASSUMPTIONS!C74+D22*ASSUMPTIONS!C74</f>
        <v>2788.5</v>
      </c>
      <c r="F42" s="37" t="n">
        <f aca="false">E15*ASSUMPTIONS!C74+E22*ASSUMPTIONS!C74</f>
        <v>8588.4</v>
      </c>
      <c r="G42" s="37" t="n">
        <f aca="false">F15*ASSUMPTIONS!C74+F22*ASSUMPTIONS!C74</f>
        <v>10657.02</v>
      </c>
      <c r="H42" s="37" t="n">
        <f aca="false">G15*ASSUMPTIONS!C74+G22*ASSUMPTIONS!C74</f>
        <v>13366.401</v>
      </c>
      <c r="I42" s="33" t="s">
        <v>330</v>
      </c>
    </row>
    <row r="44" customFormat="false" ht="19.5" hidden="false" customHeight="true" outlineLevel="0" collapsed="false">
      <c r="B44" s="44" t="s">
        <v>331</v>
      </c>
      <c r="D44" s="45" t="n">
        <f aca="false">D15+D22+D28+D33+D40+D42</f>
        <v>221950</v>
      </c>
      <c r="E44" s="45" t="n">
        <f aca="false">E15+E22+E28+E33+E40+E42</f>
        <v>395718.5</v>
      </c>
      <c r="F44" s="45" t="n">
        <f aca="false">F15+F22+F28+F33+F40+F42</f>
        <v>514777.4</v>
      </c>
      <c r="G44" s="45" t="n">
        <f aca="false">G15+G22+G28+G33+G40+G42</f>
        <v>671612.22</v>
      </c>
      <c r="H44" s="45" t="n">
        <f aca="false">H15+H22+H28+H33+H40+H42</f>
        <v>932929.186</v>
      </c>
    </row>
    <row r="45" customFormat="false" ht="15" hidden="false" customHeight="true" outlineLevel="0" collapsed="false">
      <c r="B45" s="46" t="s">
        <v>332</v>
      </c>
      <c r="D45" s="42" t="n">
        <f aca="false">IFERROR(D44/REVENUE!D21,"-")</f>
        <v>1.09604938271605</v>
      </c>
      <c r="E45" s="42" t="n">
        <f aca="false">IFERROR(E44/REVENUE!E21,"-")</f>
        <v>0.809654219948849</v>
      </c>
      <c r="F45" s="42" t="n">
        <f aca="false">IFERROR(F44/REVENUE!F21,"-")</f>
        <v>0.413475823293173</v>
      </c>
      <c r="G45" s="42" t="n">
        <f aca="false">IFERROR(G44/REVENUE!G21,"-")</f>
        <v>0.231890278808804</v>
      </c>
      <c r="H45" s="42" t="n">
        <f aca="false">IFERROR(H44/REVENUE!H21,"-")</f>
        <v>0.139503429682243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8" min="4" style="1" width="15"/>
    <col collapsed="false" customWidth="true" hidden="false" outlineLevel="0" max="9" min="9" style="1" width="22"/>
  </cols>
  <sheetData>
    <row r="1" customFormat="false" ht="27.75" hidden="false" customHeight="true" outlineLevel="0" collapsed="false">
      <c r="B1" s="17" t="s">
        <v>333</v>
      </c>
      <c r="C1" s="17"/>
      <c r="D1" s="17"/>
      <c r="E1" s="17"/>
      <c r="F1" s="17"/>
      <c r="G1" s="17"/>
      <c r="H1" s="17"/>
    </row>
    <row r="2" customFormat="false" ht="18" hidden="false" customHeight="true" outlineLevel="0" collapsed="false">
      <c r="B2" s="31" t="s">
        <v>334</v>
      </c>
      <c r="C2" s="31"/>
      <c r="D2" s="31"/>
      <c r="E2" s="31"/>
      <c r="F2" s="31"/>
      <c r="G2" s="31"/>
      <c r="H2" s="31"/>
    </row>
    <row r="3" customFormat="false" ht="6" hidden="false" customHeight="true" outlineLevel="0" collapsed="false"/>
    <row r="4" customFormat="false" ht="21.75" hidden="false" customHeight="true" outlineLevel="0" collapsed="false">
      <c r="B4" s="19" t="s">
        <v>335</v>
      </c>
      <c r="C4" s="20" t="s">
        <v>221</v>
      </c>
      <c r="D4" s="20" t="s">
        <v>222</v>
      </c>
      <c r="E4" s="20" t="s">
        <v>223</v>
      </c>
      <c r="F4" s="20" t="s">
        <v>224</v>
      </c>
      <c r="G4" s="20" t="s">
        <v>225</v>
      </c>
      <c r="H4" s="20" t="s">
        <v>56</v>
      </c>
    </row>
    <row r="5" customFormat="false" ht="18" hidden="false" customHeight="true" outlineLevel="0" collapsed="false">
      <c r="B5" s="14" t="s">
        <v>32</v>
      </c>
      <c r="C5" s="14"/>
      <c r="D5" s="14"/>
      <c r="E5" s="14"/>
      <c r="F5" s="14"/>
      <c r="G5" s="14"/>
      <c r="H5" s="14"/>
    </row>
    <row r="6" customFormat="false" ht="15.75" hidden="false" customHeight="true" outlineLevel="0" collapsed="false">
      <c r="B6" s="9" t="s">
        <v>336</v>
      </c>
      <c r="D6" s="47" t="n">
        <f aca="false">REVENUE!D13</f>
        <v>15000</v>
      </c>
      <c r="E6" s="47" t="n">
        <f aca="false">REVENUE!E13</f>
        <v>90000</v>
      </c>
      <c r="F6" s="47" t="n">
        <f aca="false">REVENUE!F13</f>
        <v>360000</v>
      </c>
      <c r="G6" s="47" t="n">
        <f aca="false">REVENUE!G13</f>
        <v>1200000</v>
      </c>
      <c r="H6" s="47" t="n">
        <f aca="false">REVENUE!H13</f>
        <v>3600000</v>
      </c>
    </row>
    <row r="7" customFormat="false" ht="15.75" hidden="false" customHeight="true" outlineLevel="0" collapsed="false">
      <c r="B7" s="9" t="s">
        <v>337</v>
      </c>
      <c r="D7" s="47" t="n">
        <f aca="false">REVENUE!D14</f>
        <v>12500</v>
      </c>
      <c r="E7" s="47" t="n">
        <f aca="false">REVENUE!E14</f>
        <v>18750</v>
      </c>
      <c r="F7" s="47" t="n">
        <f aca="false">REVENUE!F14</f>
        <v>25000</v>
      </c>
      <c r="G7" s="47" t="n">
        <f aca="false">REVENUE!G14</f>
        <v>31250</v>
      </c>
      <c r="H7" s="47" t="n">
        <f aca="false">REVENUE!H14</f>
        <v>37500</v>
      </c>
    </row>
    <row r="8" customFormat="false" ht="15.75" hidden="false" customHeight="true" outlineLevel="0" collapsed="false">
      <c r="B8" s="9" t="s">
        <v>338</v>
      </c>
      <c r="D8" s="47" t="n">
        <f aca="false">REVENUE!D15</f>
        <v>50000</v>
      </c>
      <c r="E8" s="47" t="n">
        <f aca="false">REVENUE!E15</f>
        <v>125000</v>
      </c>
      <c r="F8" s="47" t="n">
        <f aca="false">REVENUE!F15</f>
        <v>225000</v>
      </c>
      <c r="G8" s="47" t="n">
        <f aca="false">REVENUE!G15</f>
        <v>350000</v>
      </c>
      <c r="H8" s="47" t="n">
        <f aca="false">REVENUE!H15</f>
        <v>500000</v>
      </c>
    </row>
    <row r="9" customFormat="false" ht="15.75" hidden="false" customHeight="true" outlineLevel="0" collapsed="false">
      <c r="B9" s="9" t="s">
        <v>339</v>
      </c>
      <c r="D9" s="47" t="n">
        <f aca="false">REVENUE!D16</f>
        <v>20000</v>
      </c>
      <c r="E9" s="47" t="n">
        <f aca="false">REVENUE!E16</f>
        <v>50000</v>
      </c>
      <c r="F9" s="47" t="n">
        <f aca="false">REVENUE!F16</f>
        <v>90000</v>
      </c>
      <c r="G9" s="47" t="n">
        <f aca="false">REVENUE!G16</f>
        <v>140000</v>
      </c>
      <c r="H9" s="47" t="n">
        <f aca="false">REVENUE!H16</f>
        <v>200000</v>
      </c>
    </row>
    <row r="10" customFormat="false" ht="15.75" hidden="false" customHeight="true" outlineLevel="0" collapsed="false">
      <c r="B10" s="9" t="s">
        <v>340</v>
      </c>
      <c r="D10" s="47" t="n">
        <f aca="false">REVENUE!D17</f>
        <v>25000</v>
      </c>
      <c r="E10" s="47" t="n">
        <f aca="false">REVENUE!E17</f>
        <v>75000</v>
      </c>
      <c r="F10" s="47" t="n">
        <f aca="false">REVENUE!F17</f>
        <v>175000</v>
      </c>
      <c r="G10" s="47" t="n">
        <f aca="false">REVENUE!G17</f>
        <v>325000</v>
      </c>
      <c r="H10" s="47" t="n">
        <f aca="false">REVENUE!H17</f>
        <v>650000</v>
      </c>
    </row>
    <row r="11" customFormat="false" ht="15.75" hidden="false" customHeight="true" outlineLevel="0" collapsed="false">
      <c r="B11" s="9" t="s">
        <v>341</v>
      </c>
      <c r="D11" s="47" t="n">
        <f aca="false">REVENUE!D18</f>
        <v>0</v>
      </c>
      <c r="E11" s="47" t="n">
        <f aca="false">REVENUE!E18</f>
        <v>100000</v>
      </c>
      <c r="F11" s="47" t="n">
        <f aca="false">REVENUE!F18</f>
        <v>250000</v>
      </c>
      <c r="G11" s="47" t="n">
        <f aca="false">REVENUE!G18</f>
        <v>500000</v>
      </c>
      <c r="H11" s="47" t="n">
        <f aca="false">REVENUE!H18</f>
        <v>900000</v>
      </c>
    </row>
    <row r="12" customFormat="false" ht="15.75" hidden="false" customHeight="true" outlineLevel="0" collapsed="false">
      <c r="B12" s="9" t="s">
        <v>342</v>
      </c>
      <c r="D12" s="47" t="n">
        <f aca="false">REVENUE!D19</f>
        <v>0</v>
      </c>
      <c r="E12" s="47" t="n">
        <f aca="false">REVENUE!E19</f>
        <v>30000</v>
      </c>
      <c r="F12" s="47" t="n">
        <f aca="false">REVENUE!F19</f>
        <v>120000</v>
      </c>
      <c r="G12" s="47" t="n">
        <f aca="false">REVENUE!G19</f>
        <v>350000</v>
      </c>
      <c r="H12" s="47" t="n">
        <f aca="false">REVENUE!H19</f>
        <v>800000</v>
      </c>
    </row>
    <row r="13" customFormat="false" ht="15.75" hidden="false" customHeight="true" outlineLevel="0" collapsed="false">
      <c r="B13" s="38" t="s">
        <v>256</v>
      </c>
      <c r="D13" s="39" t="n">
        <f aca="false">SUM(D6:D12)</f>
        <v>122500</v>
      </c>
      <c r="E13" s="39" t="n">
        <f aca="false">SUM(E6:E12)</f>
        <v>488750</v>
      </c>
      <c r="F13" s="39" t="n">
        <f aca="false">SUM(F6:F12)</f>
        <v>1245000</v>
      </c>
      <c r="G13" s="39" t="n">
        <f aca="false">SUM(G6:G12)</f>
        <v>2896250</v>
      </c>
      <c r="H13" s="39" t="n">
        <f aca="false">SUM(H6:H12)</f>
        <v>6687500</v>
      </c>
    </row>
    <row r="14" customFormat="false" ht="18" hidden="false" customHeight="true" outlineLevel="0" collapsed="false">
      <c r="B14" s="14" t="s">
        <v>343</v>
      </c>
      <c r="C14" s="14"/>
      <c r="D14" s="14"/>
      <c r="E14" s="14"/>
      <c r="F14" s="14"/>
      <c r="G14" s="14"/>
      <c r="H14" s="14"/>
    </row>
    <row r="15" customFormat="false" ht="15.75" hidden="false" customHeight="true" outlineLevel="0" collapsed="false">
      <c r="B15" s="9" t="s">
        <v>344</v>
      </c>
      <c r="D15" s="47" t="n">
        <f aca="false">REVENUE!D20</f>
        <v>80000</v>
      </c>
      <c r="E15" s="47" t="n">
        <f aca="false">REVENUE!E20</f>
        <v>0</v>
      </c>
      <c r="F15" s="47" t="n">
        <f aca="false">REVENUE!F20</f>
        <v>0</v>
      </c>
      <c r="G15" s="47" t="n">
        <f aca="false">REVENUE!G20</f>
        <v>0</v>
      </c>
      <c r="H15" s="47" t="n">
        <f aca="false">REVENUE!H20</f>
        <v>0</v>
      </c>
      <c r="I15" s="33" t="s">
        <v>345</v>
      </c>
    </row>
    <row r="16" customFormat="false" ht="15.75" hidden="false" customHeight="true" outlineLevel="0" collapsed="false">
      <c r="B16" s="38" t="s">
        <v>346</v>
      </c>
      <c r="D16" s="39" t="n">
        <f aca="false">D15</f>
        <v>80000</v>
      </c>
      <c r="E16" s="39" t="n">
        <f aca="false">E15</f>
        <v>0</v>
      </c>
      <c r="F16" s="39" t="n">
        <f aca="false">F15</f>
        <v>0</v>
      </c>
      <c r="G16" s="39" t="n">
        <f aca="false">G15</f>
        <v>0</v>
      </c>
      <c r="H16" s="39" t="n">
        <f aca="false">H15</f>
        <v>0</v>
      </c>
    </row>
    <row r="17" customFormat="false" ht="19.5" hidden="false" customHeight="true" outlineLevel="0" collapsed="false">
      <c r="B17" s="44" t="s">
        <v>347</v>
      </c>
      <c r="D17" s="45" t="n">
        <f aca="false">D13+D16</f>
        <v>202500</v>
      </c>
      <c r="E17" s="45" t="n">
        <f aca="false">E13+E16</f>
        <v>488750</v>
      </c>
      <c r="F17" s="45" t="n">
        <f aca="false">F13+F16</f>
        <v>1245000</v>
      </c>
      <c r="G17" s="45" t="n">
        <f aca="false">G13+G16</f>
        <v>2896250</v>
      </c>
      <c r="H17" s="45" t="n">
        <f aca="false">H13+H16</f>
        <v>6687500</v>
      </c>
    </row>
    <row r="19" customFormat="false" ht="18" hidden="false" customHeight="true" outlineLevel="0" collapsed="false">
      <c r="B19" s="14" t="s">
        <v>348</v>
      </c>
      <c r="C19" s="14"/>
      <c r="D19" s="14"/>
      <c r="E19" s="14"/>
      <c r="F19" s="14"/>
      <c r="G19" s="14"/>
      <c r="H19" s="14"/>
    </row>
    <row r="20" customFormat="false" ht="15.75" hidden="false" customHeight="true" outlineLevel="0" collapsed="false">
      <c r="B20" s="9" t="s">
        <v>349</v>
      </c>
      <c r="D20" s="47" t="n">
        <f aca="false">-OPEX!D15</f>
        <v>-60750</v>
      </c>
      <c r="E20" s="47" t="n">
        <f aca="false">-OPEX!E15</f>
        <v>-249000</v>
      </c>
      <c r="F20" s="47" t="n">
        <f aca="false">-OPEX!F15</f>
        <v>-309000</v>
      </c>
      <c r="G20" s="47" t="n">
        <f aca="false">-OPEX!G15</f>
        <v>-389000</v>
      </c>
      <c r="H20" s="47" t="n">
        <f aca="false">-OPEX!H15</f>
        <v>-539000</v>
      </c>
    </row>
    <row r="21" customFormat="false" ht="15.75" hidden="false" customHeight="true" outlineLevel="0" collapsed="false">
      <c r="B21" s="9" t="s">
        <v>350</v>
      </c>
      <c r="D21" s="47" t="n">
        <f aca="false">-OPEX!D22</f>
        <v>-32200</v>
      </c>
      <c r="E21" s="47" t="n">
        <f aca="false">-OPEX!E22</f>
        <v>-37280</v>
      </c>
      <c r="F21" s="47" t="n">
        <f aca="false">-OPEX!F22</f>
        <v>-46234</v>
      </c>
      <c r="G21" s="47" t="n">
        <f aca="false">-OPEX!G22</f>
        <v>-56546.7</v>
      </c>
      <c r="H21" s="47" t="n">
        <f aca="false">-OPEX!H22</f>
        <v>-68578.835</v>
      </c>
    </row>
    <row r="22" customFormat="false" ht="15.75" hidden="false" customHeight="true" outlineLevel="0" collapsed="false">
      <c r="B22" s="9" t="s">
        <v>351</v>
      </c>
      <c r="D22" s="47" t="n">
        <f aca="false">-OPEX!D28</f>
        <v>-93000</v>
      </c>
      <c r="E22" s="47" t="n">
        <f aca="false">-OPEX!E28</f>
        <v>-47000</v>
      </c>
      <c r="F22" s="47" t="n">
        <f aca="false">-OPEX!F28</f>
        <v>-56000</v>
      </c>
      <c r="G22" s="47" t="n">
        <f aca="false">-OPEX!G28</f>
        <v>-68000</v>
      </c>
      <c r="H22" s="47" t="n">
        <f aca="false">-OPEX!H28</f>
        <v>-84500</v>
      </c>
    </row>
    <row r="23" customFormat="false" ht="15.75" hidden="false" customHeight="true" outlineLevel="0" collapsed="false">
      <c r="B23" s="9" t="s">
        <v>352</v>
      </c>
      <c r="D23" s="47" t="n">
        <f aca="false">-OPEX!D33</f>
        <v>-15000</v>
      </c>
      <c r="E23" s="47" t="n">
        <f aca="false">-OPEX!E33</f>
        <v>-29250</v>
      </c>
      <c r="F23" s="47" t="n">
        <f aca="false">-OPEX!F33</f>
        <v>-51875</v>
      </c>
      <c r="G23" s="47" t="n">
        <f aca="false">-OPEX!G33</f>
        <v>-85312.5</v>
      </c>
      <c r="H23" s="47" t="n">
        <f aca="false">-OPEX!H33</f>
        <v>-137968.75</v>
      </c>
    </row>
    <row r="24" customFormat="false" ht="15.75" hidden="false" customHeight="true" outlineLevel="0" collapsed="false">
      <c r="B24" s="9" t="s">
        <v>353</v>
      </c>
      <c r="D24" s="47" t="n">
        <f aca="false">-OPEX!D40</f>
        <v>-21000</v>
      </c>
      <c r="E24" s="47" t="n">
        <f aca="false">-OPEX!E40</f>
        <v>-30400</v>
      </c>
      <c r="F24" s="47" t="n">
        <f aca="false">-OPEX!F40</f>
        <v>-43080</v>
      </c>
      <c r="G24" s="47" t="n">
        <f aca="false">-OPEX!G40</f>
        <v>-62096</v>
      </c>
      <c r="H24" s="47" t="n">
        <f aca="false">-OPEX!H40</f>
        <v>-89515.2</v>
      </c>
    </row>
    <row r="25" customFormat="false" ht="15.75" hidden="false" customHeight="true" outlineLevel="0" collapsed="false">
      <c r="B25" s="38" t="s">
        <v>331</v>
      </c>
      <c r="D25" s="39" t="n">
        <f aca="false">SUM(D20:D24)</f>
        <v>-221950</v>
      </c>
      <c r="E25" s="39" t="n">
        <f aca="false">SUM(E20:E24)</f>
        <v>-392930</v>
      </c>
      <c r="F25" s="39" t="n">
        <f aca="false">SUM(F20:F24)</f>
        <v>-506189</v>
      </c>
      <c r="G25" s="39" t="n">
        <f aca="false">SUM(G20:G24)</f>
        <v>-660955.2</v>
      </c>
      <c r="H25" s="39" t="n">
        <f aca="false">SUM(H20:H24)</f>
        <v>-919562.785</v>
      </c>
    </row>
    <row r="27" customFormat="false" ht="19.5" hidden="false" customHeight="true" outlineLevel="0" collapsed="false">
      <c r="B27" s="44" t="s">
        <v>354</v>
      </c>
      <c r="D27" s="45" t="n">
        <f aca="false">D17+D25</f>
        <v>-19450</v>
      </c>
      <c r="E27" s="45" t="n">
        <f aca="false">E17+E25</f>
        <v>95820</v>
      </c>
      <c r="F27" s="45" t="n">
        <f aca="false">F17+F25</f>
        <v>738811</v>
      </c>
      <c r="G27" s="45" t="n">
        <f aca="false">G17+G25</f>
        <v>2235294.8</v>
      </c>
      <c r="H27" s="45" t="n">
        <f aca="false">H17+H25</f>
        <v>5767937.215</v>
      </c>
    </row>
    <row r="28" customFormat="false" ht="15" hidden="false" customHeight="true" outlineLevel="0" collapsed="false">
      <c r="B28" s="46" t="s">
        <v>355</v>
      </c>
      <c r="D28" s="42" t="n">
        <f aca="false">IFERROR(D27/D13,"-")</f>
        <v>-0.158775510204082</v>
      </c>
      <c r="E28" s="42" t="n">
        <f aca="false">IFERROR(E27/E13,"-")</f>
        <v>0.196051150895141</v>
      </c>
      <c r="F28" s="42" t="n">
        <f aca="false">IFERROR(F27/F13,"-")</f>
        <v>0.593422489959839</v>
      </c>
      <c r="G28" s="42" t="n">
        <f aca="false">IFERROR(G27/G13,"-")</f>
        <v>0.771789313767803</v>
      </c>
      <c r="H28" s="42" t="n">
        <f aca="false">IFERROR(H27/H13,"-")</f>
        <v>0.862495284485981</v>
      </c>
    </row>
    <row r="30" customFormat="false" ht="18" hidden="false" customHeight="true" outlineLevel="0" collapsed="false">
      <c r="B30" s="14" t="s">
        <v>356</v>
      </c>
      <c r="C30" s="14"/>
      <c r="D30" s="14"/>
      <c r="E30" s="14"/>
      <c r="F30" s="14"/>
      <c r="G30" s="14"/>
      <c r="H30" s="14"/>
    </row>
    <row r="31" customFormat="false" ht="15.75" hidden="false" customHeight="true" outlineLevel="0" collapsed="false">
      <c r="B31" s="9" t="s">
        <v>357</v>
      </c>
      <c r="D31" s="47" t="n">
        <f aca="false">-OPEX!D42</f>
        <v>-0</v>
      </c>
      <c r="E31" s="47" t="n">
        <f aca="false">-OPEX!E42</f>
        <v>-2788.5</v>
      </c>
      <c r="F31" s="47" t="n">
        <f aca="false">-OPEX!F42</f>
        <v>-8588.4</v>
      </c>
      <c r="G31" s="47" t="n">
        <f aca="false">-OPEX!G42</f>
        <v>-10657.02</v>
      </c>
      <c r="H31" s="47" t="n">
        <f aca="false">-OPEX!H42</f>
        <v>-13366.401</v>
      </c>
    </row>
    <row r="32" customFormat="false" ht="15.75" hidden="false" customHeight="true" outlineLevel="0" collapsed="false">
      <c r="B32" s="38" t="s">
        <v>358</v>
      </c>
      <c r="D32" s="39" t="n">
        <f aca="false">D27+D31</f>
        <v>-19450</v>
      </c>
      <c r="E32" s="39" t="n">
        <f aca="false">E27+E31</f>
        <v>93031.5</v>
      </c>
      <c r="F32" s="39" t="n">
        <f aca="false">F27+F31</f>
        <v>730222.6</v>
      </c>
      <c r="G32" s="39" t="n">
        <f aca="false">G27+G31</f>
        <v>2224637.78</v>
      </c>
      <c r="H32" s="39" t="n">
        <f aca="false">H27+H31</f>
        <v>5754570.814</v>
      </c>
    </row>
    <row r="33" customFormat="false" ht="15.75" hidden="false" customHeight="true" outlineLevel="0" collapsed="false">
      <c r="B33" s="9" t="s">
        <v>359</v>
      </c>
      <c r="D33" s="48" t="n">
        <v>0</v>
      </c>
      <c r="E33" s="48" t="n">
        <v>0</v>
      </c>
      <c r="F33" s="48" t="n">
        <v>0</v>
      </c>
      <c r="G33" s="48" t="n">
        <v>0</v>
      </c>
      <c r="H33" s="48" t="n">
        <v>0</v>
      </c>
    </row>
    <row r="34" customFormat="false" ht="15.75" hidden="false" customHeight="true" outlineLevel="0" collapsed="false">
      <c r="B34" s="38" t="s">
        <v>360</v>
      </c>
      <c r="D34" s="39" t="n">
        <f aca="false">D32+D33</f>
        <v>-19450</v>
      </c>
      <c r="E34" s="39" t="n">
        <f aca="false">E32+E33</f>
        <v>93031.5</v>
      </c>
      <c r="F34" s="39" t="n">
        <f aca="false">F32+F33</f>
        <v>730222.6</v>
      </c>
      <c r="G34" s="39" t="n">
        <f aca="false">G32+G33</f>
        <v>2224637.78</v>
      </c>
      <c r="H34" s="39" t="n">
        <f aca="false">H32+H33</f>
        <v>5754570.814</v>
      </c>
    </row>
    <row r="35" customFormat="false" ht="15.75" hidden="false" customHeight="true" outlineLevel="0" collapsed="false">
      <c r="B35" s="9" t="s">
        <v>361</v>
      </c>
      <c r="D35" s="49" t="n">
        <f aca="false">IF(D34&gt;0,-D34*ASSUMPTIONS!C81,0)</f>
        <v>0</v>
      </c>
      <c r="E35" s="49" t="n">
        <f aca="false">IF(E34&gt;0,-E34*ASSUMPTIONS!C81,0)</f>
        <v>-23257.875</v>
      </c>
      <c r="F35" s="49" t="n">
        <f aca="false">IF(F34&gt;0,-F34*ASSUMPTIONS!C81,0)</f>
        <v>-182555.65</v>
      </c>
      <c r="G35" s="49" t="n">
        <f aca="false">IF(G34&gt;0,-G34*ASSUMPTIONS!C81,0)</f>
        <v>-556159.445</v>
      </c>
      <c r="H35" s="49" t="n">
        <f aca="false">IF(H34&gt;0,-H34*ASSUMPTIONS!C81,0)</f>
        <v>-1438642.7035</v>
      </c>
    </row>
    <row r="36" customFormat="false" ht="19.5" hidden="false" customHeight="true" outlineLevel="0" collapsed="false">
      <c r="B36" s="44" t="s">
        <v>362</v>
      </c>
      <c r="D36" s="45" t="n">
        <f aca="false">D34+D35</f>
        <v>-19450</v>
      </c>
      <c r="E36" s="45" t="n">
        <f aca="false">E34+E35</f>
        <v>69773.625</v>
      </c>
      <c r="F36" s="45" t="n">
        <f aca="false">F34+F35</f>
        <v>547666.95</v>
      </c>
      <c r="G36" s="45" t="n">
        <f aca="false">G34+G35</f>
        <v>1668478.335</v>
      </c>
      <c r="H36" s="45" t="n">
        <f aca="false">H34+H35</f>
        <v>4315928.1105</v>
      </c>
    </row>
    <row r="37" customFormat="false" ht="15" hidden="false" customHeight="true" outlineLevel="0" collapsed="false">
      <c r="B37" s="46" t="s">
        <v>363</v>
      </c>
      <c r="D37" s="42" t="n">
        <f aca="false">IFERROR(D36/D13,"-")</f>
        <v>-0.158775510204082</v>
      </c>
      <c r="E37" s="42" t="n">
        <f aca="false">IFERROR(E36/E13,"-")</f>
        <v>0.142759335038363</v>
      </c>
      <c r="F37" s="42" t="n">
        <f aca="false">IFERROR(F36/F13,"-")</f>
        <v>0.43989313253012</v>
      </c>
      <c r="G37" s="42" t="n">
        <f aca="false">IFERROR(G36/G13,"-")</f>
        <v>0.576082290893397</v>
      </c>
      <c r="H37" s="42" t="n">
        <f aca="false">IFERROR(H36/H13,"-")</f>
        <v>0.645372427738318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"/>
    <col collapsed="false" customWidth="true" hidden="false" outlineLevel="0" max="8" min="4" style="1" width="15"/>
    <col collapsed="false" customWidth="true" hidden="false" outlineLevel="0" max="9" min="9" style="1" width="22"/>
  </cols>
  <sheetData>
    <row r="1" customFormat="false" ht="27.75" hidden="false" customHeight="true" outlineLevel="0" collapsed="false">
      <c r="B1" s="17" t="s">
        <v>364</v>
      </c>
      <c r="C1" s="17"/>
      <c r="D1" s="17"/>
      <c r="E1" s="17"/>
      <c r="F1" s="17"/>
      <c r="G1" s="17"/>
      <c r="H1" s="17"/>
    </row>
    <row r="2" customFormat="false" ht="18" hidden="false" customHeight="true" outlineLevel="0" collapsed="false">
      <c r="B2" s="31" t="s">
        <v>365</v>
      </c>
      <c r="C2" s="31"/>
      <c r="D2" s="31"/>
      <c r="E2" s="31"/>
      <c r="F2" s="31"/>
      <c r="G2" s="31"/>
      <c r="H2" s="31"/>
    </row>
    <row r="3" customFormat="false" ht="6" hidden="false" customHeight="true" outlineLevel="0" collapsed="false"/>
    <row r="4" customFormat="false" ht="21.75" hidden="false" customHeight="true" outlineLevel="0" collapsed="false">
      <c r="B4" s="19" t="s">
        <v>366</v>
      </c>
      <c r="C4" s="20" t="s">
        <v>221</v>
      </c>
      <c r="D4" s="20" t="s">
        <v>222</v>
      </c>
      <c r="E4" s="20" t="s">
        <v>223</v>
      </c>
      <c r="F4" s="20" t="s">
        <v>224</v>
      </c>
      <c r="G4" s="20" t="s">
        <v>225</v>
      </c>
      <c r="H4" s="20" t="s">
        <v>56</v>
      </c>
    </row>
    <row r="5" customFormat="false" ht="18" hidden="false" customHeight="true" outlineLevel="0" collapsed="false">
      <c r="B5" s="14" t="s">
        <v>367</v>
      </c>
      <c r="C5" s="14"/>
      <c r="D5" s="14"/>
      <c r="E5" s="14"/>
      <c r="F5" s="14"/>
      <c r="G5" s="14"/>
      <c r="H5" s="14"/>
    </row>
    <row r="6" customFormat="false" ht="15.75" hidden="false" customHeight="true" outlineLevel="0" collapsed="false">
      <c r="B6" s="9" t="s">
        <v>368</v>
      </c>
      <c r="D6" s="47" t="n">
        <f aca="false">'P&amp;L'!D36</f>
        <v>-19450</v>
      </c>
      <c r="E6" s="47" t="n">
        <f aca="false">'P&amp;L'!E36</f>
        <v>69773.625</v>
      </c>
      <c r="F6" s="47" t="n">
        <f aca="false">'P&amp;L'!F36</f>
        <v>547666.95</v>
      </c>
      <c r="G6" s="47" t="n">
        <f aca="false">'P&amp;L'!G36</f>
        <v>1668478.335</v>
      </c>
      <c r="H6" s="47" t="n">
        <f aca="false">'P&amp;L'!H36</f>
        <v>4315928.1105</v>
      </c>
      <c r="I6" s="33" t="s">
        <v>369</v>
      </c>
    </row>
    <row r="7" customFormat="false" ht="15.75" hidden="false" customHeight="true" outlineLevel="0" collapsed="false">
      <c r="B7" s="9" t="s">
        <v>370</v>
      </c>
      <c r="D7" s="47" t="n">
        <f aca="false">-'P&amp;L'!D31</f>
        <v>0</v>
      </c>
      <c r="E7" s="47" t="n">
        <f aca="false">-'P&amp;L'!E31</f>
        <v>2788.5</v>
      </c>
      <c r="F7" s="47" t="n">
        <f aca="false">-'P&amp;L'!F31</f>
        <v>8588.4</v>
      </c>
      <c r="G7" s="47" t="n">
        <f aca="false">-'P&amp;L'!G31</f>
        <v>10657.02</v>
      </c>
      <c r="H7" s="47" t="n">
        <f aca="false">-'P&amp;L'!H31</f>
        <v>13366.401</v>
      </c>
      <c r="I7" s="33" t="s">
        <v>371</v>
      </c>
    </row>
    <row r="8" customFormat="false" ht="15.75" hidden="false" customHeight="true" outlineLevel="0" collapsed="false">
      <c r="B8" s="9" t="s">
        <v>372</v>
      </c>
      <c r="D8" s="49" t="n">
        <f aca="false">0</f>
        <v>0</v>
      </c>
      <c r="E8" s="47" t="n">
        <f aca="false">-'P&amp;L'!E13*0.04</f>
        <v>-19550</v>
      </c>
      <c r="F8" s="47" t="n">
        <f aca="false">-'P&amp;L'!F13*0.04</f>
        <v>-49800</v>
      </c>
      <c r="G8" s="47" t="n">
        <f aca="false">-'P&amp;L'!G13*0.04</f>
        <v>-115850</v>
      </c>
      <c r="H8" s="47" t="n">
        <f aca="false">-'P&amp;L'!H13*0.04</f>
        <v>-267500</v>
      </c>
      <c r="I8" s="33" t="s">
        <v>373</v>
      </c>
    </row>
    <row r="9" customFormat="false" ht="15.75" hidden="false" customHeight="true" outlineLevel="0" collapsed="false">
      <c r="B9" s="38" t="s">
        <v>374</v>
      </c>
      <c r="D9" s="39" t="n">
        <f aca="false">D6+D7+D8</f>
        <v>-19450</v>
      </c>
      <c r="E9" s="39" t="n">
        <f aca="false">E6+E7+E8</f>
        <v>53012.125</v>
      </c>
      <c r="F9" s="39" t="n">
        <f aca="false">F6+F7+F8</f>
        <v>506455.35</v>
      </c>
      <c r="G9" s="39" t="n">
        <f aca="false">G6+G7+G8</f>
        <v>1563285.355</v>
      </c>
      <c r="H9" s="39" t="n">
        <f aca="false">H6+H7+H8</f>
        <v>4061794.5115</v>
      </c>
    </row>
    <row r="11" customFormat="false" ht="18" hidden="false" customHeight="true" outlineLevel="0" collapsed="false">
      <c r="B11" s="14" t="s">
        <v>375</v>
      </c>
      <c r="C11" s="14"/>
      <c r="D11" s="14"/>
      <c r="E11" s="14"/>
      <c r="F11" s="14"/>
      <c r="G11" s="14"/>
      <c r="H11" s="14"/>
    </row>
    <row r="12" customFormat="false" ht="15.75" hidden="false" customHeight="true" outlineLevel="0" collapsed="false">
      <c r="B12" s="9" t="s">
        <v>376</v>
      </c>
      <c r="D12" s="49" t="n">
        <f aca="false">-15000</f>
        <v>-15000</v>
      </c>
      <c r="E12" s="49" t="n">
        <f aca="false">-20000</f>
        <v>-20000</v>
      </c>
      <c r="F12" s="49" t="n">
        <f aca="false">-25000</f>
        <v>-25000</v>
      </c>
      <c r="G12" s="49" t="n">
        <f aca="false">-35000</f>
        <v>-35000</v>
      </c>
      <c r="H12" s="49" t="n">
        <f aca="false">-50000</f>
        <v>-50000</v>
      </c>
      <c r="I12" s="33" t="s">
        <v>377</v>
      </c>
    </row>
    <row r="13" customFormat="false" ht="15.75" hidden="false" customHeight="true" outlineLevel="0" collapsed="false">
      <c r="B13" s="38" t="s">
        <v>378</v>
      </c>
      <c r="D13" s="39" t="n">
        <f aca="false">D12</f>
        <v>-15000</v>
      </c>
      <c r="E13" s="39" t="n">
        <f aca="false">E12</f>
        <v>-20000</v>
      </c>
      <c r="F13" s="39" t="n">
        <f aca="false">F12</f>
        <v>-25000</v>
      </c>
      <c r="G13" s="39" t="n">
        <f aca="false">G12</f>
        <v>-35000</v>
      </c>
      <c r="H13" s="39" t="n">
        <f aca="false">H12</f>
        <v>-50000</v>
      </c>
    </row>
    <row r="15" customFormat="false" ht="18" hidden="false" customHeight="true" outlineLevel="0" collapsed="false">
      <c r="B15" s="14" t="s">
        <v>379</v>
      </c>
      <c r="C15" s="14"/>
      <c r="D15" s="14"/>
      <c r="E15" s="14"/>
      <c r="F15" s="14"/>
      <c r="G15" s="14"/>
      <c r="H15" s="14"/>
    </row>
    <row r="16" customFormat="false" ht="15.75" hidden="false" customHeight="true" outlineLevel="0" collapsed="false">
      <c r="B16" s="9" t="s">
        <v>380</v>
      </c>
      <c r="D16" s="49" t="n">
        <f aca="false">150000</f>
        <v>150000</v>
      </c>
      <c r="E16" s="49" t="n">
        <f aca="false">0</f>
        <v>0</v>
      </c>
      <c r="F16" s="49" t="n">
        <f aca="false">0</f>
        <v>0</v>
      </c>
      <c r="G16" s="49" t="n">
        <f aca="false">0</f>
        <v>0</v>
      </c>
      <c r="H16" s="49" t="n">
        <f aca="false">0</f>
        <v>0</v>
      </c>
      <c r="I16" s="33" t="s">
        <v>381</v>
      </c>
    </row>
    <row r="17" customFormat="false" ht="15.75" hidden="false" customHeight="true" outlineLevel="0" collapsed="false">
      <c r="B17" s="38" t="s">
        <v>382</v>
      </c>
      <c r="D17" s="39" t="n">
        <f aca="false">D16</f>
        <v>150000</v>
      </c>
      <c r="E17" s="39" t="n">
        <f aca="false">E16</f>
        <v>0</v>
      </c>
      <c r="F17" s="39" t="n">
        <f aca="false">F16</f>
        <v>0</v>
      </c>
      <c r="G17" s="39" t="n">
        <f aca="false">G16</f>
        <v>0</v>
      </c>
      <c r="H17" s="39" t="n">
        <f aca="false">H16</f>
        <v>0</v>
      </c>
    </row>
    <row r="19" customFormat="false" ht="19.5" hidden="false" customHeight="true" outlineLevel="0" collapsed="false">
      <c r="B19" s="44" t="s">
        <v>383</v>
      </c>
      <c r="D19" s="45" t="n">
        <f aca="false">D9+D13+D17</f>
        <v>115550</v>
      </c>
      <c r="E19" s="45" t="n">
        <f aca="false">E9+E13+E17</f>
        <v>33012.125</v>
      </c>
      <c r="F19" s="45" t="n">
        <f aca="false">F9+F13+F17</f>
        <v>481455.35</v>
      </c>
      <c r="G19" s="45" t="n">
        <f aca="false">G9+G13+G17</f>
        <v>1528285.355</v>
      </c>
      <c r="H19" s="45" t="n">
        <f aca="false">H9+H13+H17</f>
        <v>4011794.5115</v>
      </c>
    </row>
    <row r="20" customFormat="false" ht="15.75" hidden="false" customHeight="true" outlineLevel="0" collapsed="false">
      <c r="B20" s="9" t="s">
        <v>384</v>
      </c>
      <c r="D20" s="49" t="n">
        <f aca="false">0</f>
        <v>0</v>
      </c>
      <c r="E20" s="47" t="n">
        <f aca="false">D21</f>
        <v>115550</v>
      </c>
      <c r="F20" s="47" t="n">
        <f aca="false">E21</f>
        <v>148562.125</v>
      </c>
      <c r="G20" s="47" t="n">
        <f aca="false">F21</f>
        <v>630017.475</v>
      </c>
      <c r="H20" s="47" t="n">
        <f aca="false">G21</f>
        <v>2158302.83</v>
      </c>
      <c r="I20" s="33" t="s">
        <v>385</v>
      </c>
    </row>
    <row r="21" customFormat="false" ht="19.5" hidden="false" customHeight="true" outlineLevel="0" collapsed="false">
      <c r="B21" s="44" t="s">
        <v>386</v>
      </c>
      <c r="D21" s="45" t="n">
        <f aca="false">D19+D20</f>
        <v>115550</v>
      </c>
      <c r="E21" s="45" t="n">
        <f aca="false">D21+E19</f>
        <v>148562.125</v>
      </c>
      <c r="F21" s="45" t="n">
        <f aca="false">E21+F19</f>
        <v>630017.475</v>
      </c>
      <c r="G21" s="45" t="n">
        <f aca="false">F21+G19</f>
        <v>2158302.83</v>
      </c>
      <c r="H21" s="45" t="n">
        <f aca="false">G21+H19</f>
        <v>6170097.3415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R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17" min="3" style="1" width="11"/>
  </cols>
  <sheetData>
    <row r="1" customFormat="false" ht="27.75" hidden="false" customHeight="true" outlineLevel="0" collapsed="false">
      <c r="B1" s="17" t="s">
        <v>387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customFormat="false" ht="18" hidden="false" customHeight="true" outlineLevel="0" collapsed="false">
      <c r="B2" s="31" t="s">
        <v>388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customFormat="false" ht="6" hidden="false" customHeight="true" outlineLevel="0" collapsed="false"/>
    <row r="4" customFormat="false" ht="19.5" hidden="false" customHeight="true" outlineLevel="0" collapsed="false">
      <c r="C4" s="50" t="s">
        <v>389</v>
      </c>
      <c r="D4" s="50"/>
      <c r="E4" s="50"/>
      <c r="F4" s="50"/>
      <c r="G4" s="50"/>
      <c r="H4" s="51" t="s">
        <v>390</v>
      </c>
      <c r="I4" s="51"/>
      <c r="J4" s="51"/>
      <c r="K4" s="51"/>
      <c r="L4" s="51"/>
      <c r="M4" s="52" t="s">
        <v>391</v>
      </c>
      <c r="N4" s="52"/>
      <c r="O4" s="52"/>
      <c r="P4" s="52"/>
      <c r="Q4" s="52"/>
    </row>
    <row r="5" customFormat="false" ht="15.75" hidden="false" customHeight="true" outlineLevel="0" collapsed="false">
      <c r="B5" s="53" t="s">
        <v>392</v>
      </c>
      <c r="C5" s="54" t="s">
        <v>221</v>
      </c>
      <c r="D5" s="54" t="s">
        <v>222</v>
      </c>
      <c r="E5" s="54" t="s">
        <v>223</v>
      </c>
      <c r="F5" s="54" t="s">
        <v>224</v>
      </c>
      <c r="G5" s="54" t="s">
        <v>225</v>
      </c>
      <c r="H5" s="54" t="s">
        <v>221</v>
      </c>
      <c r="I5" s="54" t="s">
        <v>222</v>
      </c>
      <c r="J5" s="54" t="s">
        <v>223</v>
      </c>
      <c r="K5" s="54" t="s">
        <v>224</v>
      </c>
      <c r="L5" s="54" t="s">
        <v>225</v>
      </c>
      <c r="M5" s="54" t="s">
        <v>221</v>
      </c>
      <c r="N5" s="54" t="s">
        <v>222</v>
      </c>
      <c r="O5" s="54" t="s">
        <v>223</v>
      </c>
      <c r="P5" s="54" t="s">
        <v>224</v>
      </c>
      <c r="Q5" s="54" t="s">
        <v>225</v>
      </c>
    </row>
    <row r="6" customFormat="false" ht="15.75" hidden="false" customHeight="true" outlineLevel="0" collapsed="false">
      <c r="B6" s="55" t="s">
        <v>393</v>
      </c>
      <c r="C6" s="56" t="n">
        <f aca="false">'P&amp;L'!D13*ASSUMPTIONS!C85/MAX(0.001,IF(ASSUMPTIONS!C84="Bear",ASSUMPTIONS!C85,IF(ASSUMPTIONS!C84="Bull",ASSUMPTIONS!C86,1)))</f>
        <v>73500</v>
      </c>
      <c r="D6" s="56" t="n">
        <f aca="false">'P&amp;L'!E13*ASSUMPTIONS!C85/MAX(0.001,IF(ASSUMPTIONS!C84="Bear",ASSUMPTIONS!C85,IF(ASSUMPTIONS!C84="Bull",ASSUMPTIONS!C86,1)))</f>
        <v>293250</v>
      </c>
      <c r="E6" s="56" t="n">
        <f aca="false">'P&amp;L'!F13*ASSUMPTIONS!C85/MAX(0.001,IF(ASSUMPTIONS!C84="Bear",ASSUMPTIONS!C85,IF(ASSUMPTIONS!C84="Bull",ASSUMPTIONS!C86,1)))</f>
        <v>747000</v>
      </c>
      <c r="F6" s="56" t="n">
        <f aca="false">'P&amp;L'!G13*ASSUMPTIONS!C85/MAX(0.001,IF(ASSUMPTIONS!C84="Bear",ASSUMPTIONS!C85,IF(ASSUMPTIONS!C84="Bull",ASSUMPTIONS!C86,1)))</f>
        <v>1737750</v>
      </c>
      <c r="G6" s="56" t="n">
        <f aca="false">'P&amp;L'!H13*ASSUMPTIONS!C85/MAX(0.001,IF(ASSUMPTIONS!C84="Bear",ASSUMPTIONS!C85,IF(ASSUMPTIONS!C84="Bull",ASSUMPTIONS!C86,1)))</f>
        <v>4012500</v>
      </c>
      <c r="H6" s="57" t="n">
        <f aca="false">'P&amp;L'!D13</f>
        <v>122500</v>
      </c>
      <c r="I6" s="57" t="n">
        <f aca="false">'P&amp;L'!E13</f>
        <v>488750</v>
      </c>
      <c r="J6" s="57" t="n">
        <f aca="false">'P&amp;L'!F13</f>
        <v>1245000</v>
      </c>
      <c r="K6" s="57" t="n">
        <f aca="false">'P&amp;L'!G13</f>
        <v>2896250</v>
      </c>
      <c r="L6" s="57" t="n">
        <f aca="false">'P&amp;L'!H13</f>
        <v>6687500</v>
      </c>
      <c r="M6" s="58" t="n">
        <f aca="false">'P&amp;L'!D13*ASSUMPTIONS!C86/MAX(0.001,IF(ASSUMPTIONS!C84="Bear",ASSUMPTIONS!C85,IF(ASSUMPTIONS!C84="Bull",ASSUMPTIONS!C86,1)))</f>
        <v>183750</v>
      </c>
      <c r="N6" s="58" t="n">
        <f aca="false">'P&amp;L'!E13*ASSUMPTIONS!C86/MAX(0.001,IF(ASSUMPTIONS!C84="Bear",ASSUMPTIONS!C85,IF(ASSUMPTIONS!C84="Bull",ASSUMPTIONS!C86,1)))</f>
        <v>733125</v>
      </c>
      <c r="O6" s="58" t="n">
        <f aca="false">'P&amp;L'!F13*ASSUMPTIONS!C86/MAX(0.001,IF(ASSUMPTIONS!C84="Bear",ASSUMPTIONS!C85,IF(ASSUMPTIONS!C84="Bull",ASSUMPTIONS!C86,1)))</f>
        <v>1867500</v>
      </c>
      <c r="P6" s="58" t="n">
        <f aca="false">'P&amp;L'!G13*ASSUMPTIONS!C86/MAX(0.001,IF(ASSUMPTIONS!C84="Bear",ASSUMPTIONS!C85,IF(ASSUMPTIONS!C84="Bull",ASSUMPTIONS!C86,1)))</f>
        <v>4344375</v>
      </c>
      <c r="Q6" s="58" t="n">
        <f aca="false">'P&amp;L'!H13*ASSUMPTIONS!C86/MAX(0.001,IF(ASSUMPTIONS!C84="Bear",ASSUMPTIONS!C85,IF(ASSUMPTIONS!C84="Bull",ASSUMPTIONS!C86,1)))</f>
        <v>10031250</v>
      </c>
    </row>
    <row r="7" customFormat="false" ht="15.75" hidden="false" customHeight="true" outlineLevel="0" collapsed="false">
      <c r="B7" s="59" t="s">
        <v>336</v>
      </c>
    </row>
    <row r="8" customFormat="false" ht="15.75" hidden="false" customHeight="true" outlineLevel="0" collapsed="false">
      <c r="B8" s="59" t="s">
        <v>394</v>
      </c>
    </row>
    <row r="9" customFormat="false" ht="15.75" hidden="false" customHeight="true" outlineLevel="0" collapsed="false">
      <c r="B9" s="55" t="s">
        <v>395</v>
      </c>
      <c r="C9" s="56" t="n">
        <f aca="false">'P&amp;L'!D44</f>
        <v>0</v>
      </c>
      <c r="D9" s="56" t="n">
        <f aca="false">'P&amp;L'!E44</f>
        <v>0</v>
      </c>
      <c r="E9" s="56" t="n">
        <f aca="false">'P&amp;L'!F44</f>
        <v>0</v>
      </c>
      <c r="F9" s="56" t="n">
        <f aca="false">'P&amp;L'!G44</f>
        <v>0</v>
      </c>
      <c r="G9" s="56" t="n">
        <f aca="false">'P&amp;L'!H44</f>
        <v>0</v>
      </c>
      <c r="H9" s="57" t="n">
        <f aca="false">'P&amp;L'!D44</f>
        <v>0</v>
      </c>
      <c r="I9" s="57" t="n">
        <f aca="false">'P&amp;L'!E44</f>
        <v>0</v>
      </c>
      <c r="J9" s="57" t="n">
        <f aca="false">'P&amp;L'!F44</f>
        <v>0</v>
      </c>
      <c r="K9" s="57" t="n">
        <f aca="false">'P&amp;L'!G44</f>
        <v>0</v>
      </c>
      <c r="L9" s="57" t="n">
        <f aca="false">'P&amp;L'!H44</f>
        <v>0</v>
      </c>
      <c r="M9" s="58" t="n">
        <f aca="false">'P&amp;L'!D44</f>
        <v>0</v>
      </c>
      <c r="N9" s="58" t="n">
        <f aca="false">'P&amp;L'!E44</f>
        <v>0</v>
      </c>
      <c r="O9" s="58" t="n">
        <f aca="false">'P&amp;L'!F44</f>
        <v>0</v>
      </c>
      <c r="P9" s="58" t="n">
        <f aca="false">'P&amp;L'!G44</f>
        <v>0</v>
      </c>
      <c r="Q9" s="58" t="n">
        <f aca="false">'P&amp;L'!H44</f>
        <v>0</v>
      </c>
    </row>
    <row r="10" customFormat="false" ht="15.75" hidden="false" customHeight="true" outlineLevel="0" collapsed="false">
      <c r="B10" s="55" t="s">
        <v>354</v>
      </c>
      <c r="C10" s="56" t="n">
        <f aca="false">'P&amp;L'!D27*ASSUMPTIONS!C85/MAX(0.001,IF(ASSUMPTIONS!C84="Bear",ASSUMPTIONS!C85,IF(ASSUMPTIONS!C84="Bull",ASSUMPTIONS!C86,1)))</f>
        <v>-11670</v>
      </c>
      <c r="D10" s="56" t="n">
        <f aca="false">'P&amp;L'!E27*ASSUMPTIONS!C85/MAX(0.001,IF(ASSUMPTIONS!C84="Bear",ASSUMPTIONS!C85,IF(ASSUMPTIONS!C84="Bull",ASSUMPTIONS!C86,1)))</f>
        <v>57492</v>
      </c>
      <c r="E10" s="56" t="n">
        <f aca="false">'P&amp;L'!F27*ASSUMPTIONS!C85/MAX(0.001,IF(ASSUMPTIONS!C84="Bear",ASSUMPTIONS!C85,IF(ASSUMPTIONS!C84="Bull",ASSUMPTIONS!C86,1)))</f>
        <v>443286.6</v>
      </c>
      <c r="F10" s="56" t="n">
        <f aca="false">'P&amp;L'!G27*ASSUMPTIONS!C85/MAX(0.001,IF(ASSUMPTIONS!C84="Bear",ASSUMPTIONS!C85,IF(ASSUMPTIONS!C84="Bull",ASSUMPTIONS!C86,1)))</f>
        <v>1341176.88</v>
      </c>
      <c r="G10" s="56" t="n">
        <f aca="false">'P&amp;L'!H27*ASSUMPTIONS!C85/MAX(0.001,IF(ASSUMPTIONS!C84="Bear",ASSUMPTIONS!C85,IF(ASSUMPTIONS!C84="Bull",ASSUMPTIONS!C86,1)))</f>
        <v>3460762.329</v>
      </c>
      <c r="H10" s="57" t="n">
        <f aca="false">'P&amp;L'!D27</f>
        <v>-19450</v>
      </c>
      <c r="I10" s="57" t="n">
        <f aca="false">'P&amp;L'!E27</f>
        <v>95820</v>
      </c>
      <c r="J10" s="57" t="n">
        <f aca="false">'P&amp;L'!F27</f>
        <v>738811</v>
      </c>
      <c r="K10" s="57" t="n">
        <f aca="false">'P&amp;L'!G27</f>
        <v>2235294.8</v>
      </c>
      <c r="L10" s="57" t="n">
        <f aca="false">'P&amp;L'!H27</f>
        <v>5767937.215</v>
      </c>
      <c r="M10" s="58" t="n">
        <f aca="false">'P&amp;L'!D27*ASSUMPTIONS!C86/MAX(0.001,IF(ASSUMPTIONS!C84="Bear",ASSUMPTIONS!C85,IF(ASSUMPTIONS!C84="Bull",ASSUMPTIONS!C86,1)))</f>
        <v>-29175</v>
      </c>
      <c r="N10" s="58" t="n">
        <f aca="false">'P&amp;L'!E27*ASSUMPTIONS!C86/MAX(0.001,IF(ASSUMPTIONS!C84="Bear",ASSUMPTIONS!C85,IF(ASSUMPTIONS!C84="Bull",ASSUMPTIONS!C86,1)))</f>
        <v>143730</v>
      </c>
      <c r="O10" s="58" t="n">
        <f aca="false">'P&amp;L'!F27*ASSUMPTIONS!C86/MAX(0.001,IF(ASSUMPTIONS!C84="Bear",ASSUMPTIONS!C85,IF(ASSUMPTIONS!C84="Bull",ASSUMPTIONS!C86,1)))</f>
        <v>1108216.5</v>
      </c>
      <c r="P10" s="58" t="n">
        <f aca="false">'P&amp;L'!G27*ASSUMPTIONS!C86/MAX(0.001,IF(ASSUMPTIONS!C84="Bear",ASSUMPTIONS!C85,IF(ASSUMPTIONS!C84="Bull",ASSUMPTIONS!C86,1)))</f>
        <v>3352942.2</v>
      </c>
      <c r="Q10" s="58" t="n">
        <f aca="false">'P&amp;L'!H27*ASSUMPTIONS!C86/MAX(0.001,IF(ASSUMPTIONS!C84="Bear",ASSUMPTIONS!C85,IF(ASSUMPTIONS!C84="Bull",ASSUMPTIONS!C86,1)))</f>
        <v>8651905.8225</v>
      </c>
    </row>
    <row r="11" customFormat="false" ht="15.75" hidden="false" customHeight="true" outlineLevel="0" collapsed="false">
      <c r="B11" s="55" t="s">
        <v>396</v>
      </c>
      <c r="C11" s="60" t="n">
        <f aca="false">'P&amp;L'!D28</f>
        <v>-0.158775510204082</v>
      </c>
      <c r="D11" s="60" t="n">
        <f aca="false">'P&amp;L'!E28</f>
        <v>0.196051150895141</v>
      </c>
      <c r="E11" s="60" t="n">
        <f aca="false">'P&amp;L'!F28</f>
        <v>0.593422489959839</v>
      </c>
      <c r="F11" s="60" t="n">
        <f aca="false">'P&amp;L'!G28</f>
        <v>0.771789313767803</v>
      </c>
      <c r="G11" s="60" t="n">
        <f aca="false">'P&amp;L'!H28</f>
        <v>0.862495284485981</v>
      </c>
      <c r="H11" s="61" t="n">
        <f aca="false">'P&amp;L'!D28</f>
        <v>-0.158775510204082</v>
      </c>
      <c r="I11" s="61" t="n">
        <f aca="false">'P&amp;L'!E28</f>
        <v>0.196051150895141</v>
      </c>
      <c r="J11" s="61" t="n">
        <f aca="false">'P&amp;L'!F28</f>
        <v>0.593422489959839</v>
      </c>
      <c r="K11" s="61" t="n">
        <f aca="false">'P&amp;L'!G28</f>
        <v>0.771789313767803</v>
      </c>
      <c r="L11" s="61" t="n">
        <f aca="false">'P&amp;L'!H28</f>
        <v>0.862495284485981</v>
      </c>
      <c r="M11" s="62" t="n">
        <f aca="false">'P&amp;L'!D28</f>
        <v>-0.158775510204082</v>
      </c>
      <c r="N11" s="62" t="n">
        <f aca="false">'P&amp;L'!E28</f>
        <v>0.196051150895141</v>
      </c>
      <c r="O11" s="62" t="n">
        <f aca="false">'P&amp;L'!F28</f>
        <v>0.593422489959839</v>
      </c>
      <c r="P11" s="62" t="n">
        <f aca="false">'P&amp;L'!G28</f>
        <v>0.771789313767803</v>
      </c>
      <c r="Q11" s="62" t="n">
        <f aca="false">'P&amp;L'!H28</f>
        <v>0.862495284485981</v>
      </c>
    </row>
    <row r="12" customFormat="false" ht="15.75" hidden="false" customHeight="true" outlineLevel="0" collapsed="false">
      <c r="B12" s="55" t="s">
        <v>368</v>
      </c>
      <c r="C12" s="56" t="n">
        <f aca="false">'P&amp;L'!D36*ASSUMPTIONS!C85/MAX(0.001,IF(ASSUMPTIONS!C84="Bear",ASSUMPTIONS!C85,IF(ASSUMPTIONS!C84="Bull",ASSUMPTIONS!C86,1)))</f>
        <v>-11670</v>
      </c>
      <c r="D12" s="56" t="n">
        <f aca="false">'P&amp;L'!E36*ASSUMPTIONS!C85/MAX(0.001,IF(ASSUMPTIONS!C84="Bear",ASSUMPTIONS!C85,IF(ASSUMPTIONS!C84="Bull",ASSUMPTIONS!C86,1)))</f>
        <v>41864.175</v>
      </c>
      <c r="E12" s="56" t="n">
        <f aca="false">'P&amp;L'!F36*ASSUMPTIONS!C85/MAX(0.001,IF(ASSUMPTIONS!C84="Bear",ASSUMPTIONS!C85,IF(ASSUMPTIONS!C84="Bull",ASSUMPTIONS!C86,1)))</f>
        <v>328600.17</v>
      </c>
      <c r="F12" s="56" t="n">
        <f aca="false">'P&amp;L'!G36*ASSUMPTIONS!C85/MAX(0.001,IF(ASSUMPTIONS!C84="Bear",ASSUMPTIONS!C85,IF(ASSUMPTIONS!C84="Bull",ASSUMPTIONS!C86,1)))</f>
        <v>1001087.001</v>
      </c>
      <c r="G12" s="56" t="n">
        <f aca="false">'P&amp;L'!H36*ASSUMPTIONS!C85/MAX(0.001,IF(ASSUMPTIONS!C84="Bear",ASSUMPTIONS!C85,IF(ASSUMPTIONS!C84="Bull",ASSUMPTIONS!C86,1)))</f>
        <v>2589556.8663</v>
      </c>
      <c r="H12" s="57" t="n">
        <f aca="false">'P&amp;L'!D36</f>
        <v>-19450</v>
      </c>
      <c r="I12" s="57" t="n">
        <f aca="false">'P&amp;L'!E36</f>
        <v>69773.625</v>
      </c>
      <c r="J12" s="57" t="n">
        <f aca="false">'P&amp;L'!F36</f>
        <v>547666.95</v>
      </c>
      <c r="K12" s="57" t="n">
        <f aca="false">'P&amp;L'!G36</f>
        <v>1668478.335</v>
      </c>
      <c r="L12" s="57" t="n">
        <f aca="false">'P&amp;L'!H36</f>
        <v>4315928.1105</v>
      </c>
      <c r="M12" s="58" t="n">
        <f aca="false">'P&amp;L'!D36*ASSUMPTIONS!C86/MAX(0.001,IF(ASSUMPTIONS!C84="Bear",ASSUMPTIONS!C85,IF(ASSUMPTIONS!C84="Bull",ASSUMPTIONS!C86,1)))</f>
        <v>-29175</v>
      </c>
      <c r="N12" s="58" t="n">
        <f aca="false">'P&amp;L'!E36*ASSUMPTIONS!C86/MAX(0.001,IF(ASSUMPTIONS!C84="Bear",ASSUMPTIONS!C85,IF(ASSUMPTIONS!C84="Bull",ASSUMPTIONS!C86,1)))</f>
        <v>104660.4375</v>
      </c>
      <c r="O12" s="58" t="n">
        <f aca="false">'P&amp;L'!F36*ASSUMPTIONS!C86/MAX(0.001,IF(ASSUMPTIONS!C84="Bear",ASSUMPTIONS!C85,IF(ASSUMPTIONS!C84="Bull",ASSUMPTIONS!C86,1)))</f>
        <v>821500.425</v>
      </c>
      <c r="P12" s="58" t="n">
        <f aca="false">'P&amp;L'!G36*ASSUMPTIONS!C86/MAX(0.001,IF(ASSUMPTIONS!C84="Bear",ASSUMPTIONS!C85,IF(ASSUMPTIONS!C84="Bull",ASSUMPTIONS!C86,1)))</f>
        <v>2502717.5025</v>
      </c>
      <c r="Q12" s="58" t="n">
        <f aca="false">'P&amp;L'!H36*ASSUMPTIONS!C86/MAX(0.001,IF(ASSUMPTIONS!C84="Bear",ASSUMPTIONS!C85,IF(ASSUMPTIONS!C84="Bull",ASSUMPTIONS!C86,1)))</f>
        <v>6473892.16575</v>
      </c>
    </row>
    <row r="13" customFormat="false" ht="15.75" hidden="false" customHeight="true" outlineLevel="0" collapsed="false">
      <c r="B13" s="55" t="s">
        <v>397</v>
      </c>
      <c r="C13" s="60" t="n">
        <f aca="false">'P&amp;L'!D37</f>
        <v>-0.158775510204082</v>
      </c>
      <c r="D13" s="60" t="n">
        <f aca="false">'P&amp;L'!E37</f>
        <v>0.142759335038363</v>
      </c>
      <c r="E13" s="60" t="n">
        <f aca="false">'P&amp;L'!F37</f>
        <v>0.43989313253012</v>
      </c>
      <c r="F13" s="60" t="n">
        <f aca="false">'P&amp;L'!G37</f>
        <v>0.576082290893397</v>
      </c>
      <c r="G13" s="60" t="n">
        <f aca="false">'P&amp;L'!H37</f>
        <v>0.645372427738318</v>
      </c>
      <c r="H13" s="61" t="n">
        <f aca="false">'P&amp;L'!D37</f>
        <v>-0.158775510204082</v>
      </c>
      <c r="I13" s="61" t="n">
        <f aca="false">'P&amp;L'!E37</f>
        <v>0.142759335038363</v>
      </c>
      <c r="J13" s="61" t="n">
        <f aca="false">'P&amp;L'!F37</f>
        <v>0.43989313253012</v>
      </c>
      <c r="K13" s="61" t="n">
        <f aca="false">'P&amp;L'!G37</f>
        <v>0.576082290893397</v>
      </c>
      <c r="L13" s="61" t="n">
        <f aca="false">'P&amp;L'!H37</f>
        <v>0.645372427738318</v>
      </c>
      <c r="M13" s="62" t="n">
        <f aca="false">'P&amp;L'!D37</f>
        <v>-0.158775510204082</v>
      </c>
      <c r="N13" s="62" t="n">
        <f aca="false">'P&amp;L'!E37</f>
        <v>0.142759335038363</v>
      </c>
      <c r="O13" s="62" t="n">
        <f aca="false">'P&amp;L'!F37</f>
        <v>0.43989313253012</v>
      </c>
      <c r="P13" s="62" t="n">
        <f aca="false">'P&amp;L'!G37</f>
        <v>0.576082290893397</v>
      </c>
      <c r="Q13" s="62" t="n">
        <f aca="false">'P&amp;L'!H37</f>
        <v>0.645372427738318</v>
      </c>
    </row>
    <row r="14" customFormat="false" ht="15.75" hidden="false" customHeight="true" outlineLevel="0" collapsed="false">
      <c r="B14" s="55" t="s">
        <v>398</v>
      </c>
      <c r="C14" s="56" t="n">
        <f aca="false">'P&amp;L'!D21*ASSUMPTIONS!C85/MAX(0.001,IF(ASSUMPTIONS!C84="Bear",ASSUMPTIONS!C85,IF(ASSUMPTIONS!C84="Bull",ASSUMPTIONS!C86,1)))</f>
        <v>-19320</v>
      </c>
      <c r="D14" s="56" t="n">
        <f aca="false">'P&amp;L'!E21*ASSUMPTIONS!C85/MAX(0.001,IF(ASSUMPTIONS!C84="Bear",ASSUMPTIONS!C85,IF(ASSUMPTIONS!C84="Bull",ASSUMPTIONS!C86,1)))</f>
        <v>-22368</v>
      </c>
      <c r="E14" s="56" t="n">
        <f aca="false">'P&amp;L'!F21*ASSUMPTIONS!C85/MAX(0.001,IF(ASSUMPTIONS!C84="Bear",ASSUMPTIONS!C85,IF(ASSUMPTIONS!C84="Bull",ASSUMPTIONS!C86,1)))</f>
        <v>-27740.4</v>
      </c>
      <c r="F14" s="56" t="n">
        <f aca="false">'P&amp;L'!G21*ASSUMPTIONS!C85/MAX(0.001,IF(ASSUMPTIONS!C84="Bear",ASSUMPTIONS!C85,IF(ASSUMPTIONS!C84="Bull",ASSUMPTIONS!C86,1)))</f>
        <v>-33928.02</v>
      </c>
      <c r="G14" s="56" t="n">
        <f aca="false">'P&amp;L'!H21*ASSUMPTIONS!C85/MAX(0.001,IF(ASSUMPTIONS!C84="Bear",ASSUMPTIONS!C85,IF(ASSUMPTIONS!C84="Bull",ASSUMPTIONS!C86,1)))</f>
        <v>-41147.301</v>
      </c>
      <c r="H14" s="57" t="n">
        <f aca="false">'P&amp;L'!D21</f>
        <v>-32200</v>
      </c>
      <c r="I14" s="57" t="n">
        <f aca="false">'P&amp;L'!E21</f>
        <v>-37280</v>
      </c>
      <c r="J14" s="57" t="n">
        <f aca="false">'P&amp;L'!F21</f>
        <v>-46234</v>
      </c>
      <c r="K14" s="57" t="n">
        <f aca="false">'P&amp;L'!G21</f>
        <v>-56546.7</v>
      </c>
      <c r="L14" s="57" t="n">
        <f aca="false">'P&amp;L'!H21</f>
        <v>-68578.835</v>
      </c>
      <c r="M14" s="58" t="n">
        <f aca="false">'P&amp;L'!D21*ASSUMPTIONS!C86/MAX(0.001,IF(ASSUMPTIONS!C84="Bear",ASSUMPTIONS!C85,IF(ASSUMPTIONS!C84="Bull",ASSUMPTIONS!C86,1)))</f>
        <v>-48300</v>
      </c>
      <c r="N14" s="58" t="n">
        <f aca="false">'P&amp;L'!E21*ASSUMPTIONS!C86/MAX(0.001,IF(ASSUMPTIONS!C84="Bear",ASSUMPTIONS!C85,IF(ASSUMPTIONS!C84="Bull",ASSUMPTIONS!C86,1)))</f>
        <v>-55920</v>
      </c>
      <c r="O14" s="58" t="n">
        <f aca="false">'P&amp;L'!F21*ASSUMPTIONS!C86/MAX(0.001,IF(ASSUMPTIONS!C84="Bear",ASSUMPTIONS!C85,IF(ASSUMPTIONS!C84="Bull",ASSUMPTIONS!C86,1)))</f>
        <v>-69351</v>
      </c>
      <c r="P14" s="58" t="n">
        <f aca="false">'P&amp;L'!G21*ASSUMPTIONS!C86/MAX(0.001,IF(ASSUMPTIONS!C84="Bear",ASSUMPTIONS!C85,IF(ASSUMPTIONS!C84="Bull",ASSUMPTIONS!C86,1)))</f>
        <v>-84820.05</v>
      </c>
      <c r="Q14" s="58" t="n">
        <f aca="false">'P&amp;L'!H21*ASSUMPTIONS!C86/MAX(0.001,IF(ASSUMPTIONS!C84="Bear",ASSUMPTIONS!C85,IF(ASSUMPTIONS!C84="Bull",ASSUMPTIONS!C86,1)))</f>
        <v>-102868.2525</v>
      </c>
    </row>
  </sheetData>
  <mergeCells count="5">
    <mergeCell ref="B1:R1"/>
    <mergeCell ref="B2:R2"/>
    <mergeCell ref="C4:G4"/>
    <mergeCell ref="H4:L4"/>
    <mergeCell ref="M4:Q4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5" min="3" style="1" width="20"/>
  </cols>
  <sheetData>
    <row r="1" customFormat="false" ht="27.75" hidden="false" customHeight="true" outlineLevel="0" collapsed="false">
      <c r="B1" s="17" t="s">
        <v>399</v>
      </c>
      <c r="C1" s="17"/>
      <c r="D1" s="17"/>
      <c r="E1" s="17"/>
    </row>
    <row r="2" customFormat="false" ht="18" hidden="false" customHeight="true" outlineLevel="0" collapsed="false">
      <c r="B2" s="31" t="s">
        <v>400</v>
      </c>
      <c r="C2" s="31"/>
      <c r="D2" s="31"/>
      <c r="E2" s="31"/>
    </row>
    <row r="4" customFormat="false" ht="18" hidden="false" customHeight="true" outlineLevel="0" collapsed="false">
      <c r="B4" s="14" t="s">
        <v>401</v>
      </c>
      <c r="C4" s="14"/>
      <c r="D4" s="14"/>
      <c r="E4" s="14"/>
    </row>
    <row r="5" customFormat="false" ht="21.75" hidden="false" customHeight="true" outlineLevel="0" collapsed="false">
      <c r="B5" s="63" t="s">
        <v>402</v>
      </c>
      <c r="C5" s="63" t="s">
        <v>54</v>
      </c>
      <c r="D5" s="63" t="s">
        <v>403</v>
      </c>
    </row>
    <row r="6" customFormat="false" ht="15.75" hidden="false" customHeight="true" outlineLevel="0" collapsed="false">
      <c r="B6" s="9" t="s">
        <v>198</v>
      </c>
      <c r="C6" s="64" t="n">
        <f aca="false">ASSUMPTIONS!C77</f>
        <v>0.18</v>
      </c>
      <c r="D6" s="65" t="s">
        <v>404</v>
      </c>
    </row>
    <row r="7" customFormat="false" ht="15.75" hidden="false" customHeight="true" outlineLevel="0" collapsed="false">
      <c r="B7" s="9" t="s">
        <v>200</v>
      </c>
      <c r="C7" s="64" t="n">
        <f aca="false">ASSUMPTIONS!C78</f>
        <v>0.04</v>
      </c>
      <c r="D7" s="65" t="s">
        <v>405</v>
      </c>
    </row>
    <row r="8" customFormat="false" ht="15.75" hidden="false" customHeight="true" outlineLevel="0" collapsed="false">
      <c r="B8" s="9" t="s">
        <v>406</v>
      </c>
      <c r="C8" s="66" t="n">
        <f aca="false">5</f>
        <v>5</v>
      </c>
      <c r="D8" s="65" t="s">
        <v>407</v>
      </c>
    </row>
    <row r="9" customFormat="false" ht="15.75" hidden="false" customHeight="true" outlineLevel="0" collapsed="false">
      <c r="B9" s="9" t="s">
        <v>408</v>
      </c>
      <c r="C9" s="67" t="n">
        <f aca="false">'P&amp;L'!H27</f>
        <v>5767937.215</v>
      </c>
      <c r="D9" s="65" t="s">
        <v>409</v>
      </c>
    </row>
    <row r="10" customFormat="false" ht="15.75" hidden="false" customHeight="true" outlineLevel="0" collapsed="false">
      <c r="B10" s="9" t="s">
        <v>410</v>
      </c>
      <c r="C10" s="67" t="n">
        <f aca="false">'P&amp;L'!H13</f>
        <v>6687500</v>
      </c>
      <c r="D10" s="65" t="s">
        <v>411</v>
      </c>
    </row>
    <row r="12" customFormat="false" ht="18" hidden="false" customHeight="true" outlineLevel="0" collapsed="false">
      <c r="B12" s="14" t="s">
        <v>412</v>
      </c>
      <c r="C12" s="14"/>
      <c r="D12" s="14"/>
      <c r="E12" s="14"/>
    </row>
    <row r="13" customFormat="false" ht="21.75" hidden="false" customHeight="true" outlineLevel="0" collapsed="false">
      <c r="B13" s="63" t="s">
        <v>413</v>
      </c>
      <c r="C13" s="63" t="s">
        <v>221</v>
      </c>
      <c r="D13" s="63" t="s">
        <v>222</v>
      </c>
      <c r="E13" s="63" t="s">
        <v>223</v>
      </c>
      <c r="F13" s="63" t="s">
        <v>224</v>
      </c>
      <c r="G13" s="63" t="s">
        <v>225</v>
      </c>
    </row>
    <row r="14" customFormat="false" ht="15" hidden="false" customHeight="true" outlineLevel="0" collapsed="false">
      <c r="B14" s="9" t="s">
        <v>414</v>
      </c>
      <c r="C14" s="47" t="n">
        <f aca="false">'P&amp;L'!D32</f>
        <v>-19450</v>
      </c>
      <c r="D14" s="47" t="n">
        <f aca="false">'P&amp;L'!E32</f>
        <v>93031.5</v>
      </c>
      <c r="E14" s="47" t="n">
        <f aca="false">'P&amp;L'!F32</f>
        <v>730222.6</v>
      </c>
      <c r="F14" s="47" t="n">
        <f aca="false">'P&amp;L'!G32</f>
        <v>2224637.78</v>
      </c>
      <c r="G14" s="47" t="n">
        <f aca="false">'P&amp;L'!H32</f>
        <v>5754570.814</v>
      </c>
    </row>
    <row r="15" customFormat="false" ht="15" hidden="false" customHeight="true" outlineLevel="0" collapsed="false">
      <c r="B15" s="9" t="s">
        <v>415</v>
      </c>
      <c r="C15" s="47" t="n">
        <f aca="false">IF('P&amp;L'!D32&gt;0,-'P&amp;L'!D32*ASSUMPTIONS!C81,0)</f>
        <v>0</v>
      </c>
      <c r="D15" s="47" t="n">
        <f aca="false">IF('P&amp;L'!E32&gt;0,-'P&amp;L'!E32*ASSUMPTIONS!C81,0)</f>
        <v>-23257.875</v>
      </c>
      <c r="E15" s="47" t="n">
        <f aca="false">IF('P&amp;L'!F32&gt;0,-'P&amp;L'!F32*ASSUMPTIONS!C81,0)</f>
        <v>-182555.65</v>
      </c>
      <c r="F15" s="47" t="n">
        <f aca="false">IF('P&amp;L'!G32&gt;0,-'P&amp;L'!G32*ASSUMPTIONS!C81,0)</f>
        <v>-556159.445</v>
      </c>
      <c r="G15" s="47" t="n">
        <f aca="false">IF('P&amp;L'!H32&gt;0,-'P&amp;L'!H32*ASSUMPTIONS!C81,0)</f>
        <v>-1438642.7035</v>
      </c>
    </row>
    <row r="16" customFormat="false" ht="15" hidden="false" customHeight="true" outlineLevel="0" collapsed="false">
      <c r="B16" s="9" t="s">
        <v>416</v>
      </c>
      <c r="C16" s="47" t="n">
        <f aca="false">-'P&amp;L'!D31</f>
        <v>0</v>
      </c>
      <c r="D16" s="47" t="n">
        <f aca="false">-'P&amp;L'!E31</f>
        <v>2788.5</v>
      </c>
      <c r="E16" s="47" t="n">
        <f aca="false">-'P&amp;L'!F31</f>
        <v>8588.4</v>
      </c>
      <c r="F16" s="47" t="n">
        <f aca="false">-'P&amp;L'!G31</f>
        <v>10657.02</v>
      </c>
      <c r="G16" s="47" t="n">
        <f aca="false">-'P&amp;L'!H31</f>
        <v>13366.401</v>
      </c>
    </row>
    <row r="17" customFormat="false" ht="15" hidden="false" customHeight="true" outlineLevel="0" collapsed="false">
      <c r="B17" s="9" t="s">
        <v>417</v>
      </c>
      <c r="C17" s="47" t="n">
        <f aca="false">'CASH FLOW'!D12</f>
        <v>-15000</v>
      </c>
      <c r="D17" s="47" t="n">
        <f aca="false">'CASH FLOW'!E12</f>
        <v>-20000</v>
      </c>
      <c r="E17" s="47" t="n">
        <f aca="false">'CASH FLOW'!F12</f>
        <v>-25000</v>
      </c>
      <c r="F17" s="47" t="n">
        <f aca="false">'CASH FLOW'!G12</f>
        <v>-35000</v>
      </c>
      <c r="G17" s="47" t="n">
        <f aca="false">'CASH FLOW'!H12</f>
        <v>-50000</v>
      </c>
    </row>
    <row r="18" customFormat="false" ht="15" hidden="false" customHeight="true" outlineLevel="0" collapsed="false">
      <c r="B18" s="9" t="s">
        <v>418</v>
      </c>
      <c r="C18" s="47" t="n">
        <f aca="false">'CASH FLOW'!D8</f>
        <v>0</v>
      </c>
      <c r="D18" s="47" t="n">
        <f aca="false">'CASH FLOW'!E8</f>
        <v>-19550</v>
      </c>
      <c r="E18" s="47" t="n">
        <f aca="false">'CASH FLOW'!F8</f>
        <v>-49800</v>
      </c>
      <c r="F18" s="47" t="n">
        <f aca="false">'CASH FLOW'!G8</f>
        <v>-115850</v>
      </c>
      <c r="G18" s="47" t="n">
        <f aca="false">'CASH FLOW'!H8</f>
        <v>-267500</v>
      </c>
    </row>
    <row r="19" customFormat="false" ht="15.75" hidden="false" customHeight="true" outlineLevel="0" collapsed="false">
      <c r="B19" s="38" t="s">
        <v>419</v>
      </c>
      <c r="C19" s="39" t="n">
        <f aca="false">C14+C15+C16+C17+C18</f>
        <v>-34450</v>
      </c>
      <c r="D19" s="39" t="n">
        <f aca="false">D14+D15+D16+D17+D18</f>
        <v>33012.125</v>
      </c>
      <c r="E19" s="39" t="n">
        <f aca="false">E14+E15+E16+E17+E18</f>
        <v>481455.35</v>
      </c>
      <c r="F19" s="39" t="n">
        <f aca="false">F14+F15+F16+F17+F18</f>
        <v>1528285.355</v>
      </c>
      <c r="G19" s="39" t="n">
        <f aca="false">G14+G15+G16+G17+G18</f>
        <v>4011794.5115</v>
      </c>
    </row>
    <row r="20" customFormat="false" ht="15" hidden="false" customHeight="true" outlineLevel="0" collapsed="false">
      <c r="B20" s="40" t="s">
        <v>420</v>
      </c>
      <c r="C20" s="68" t="n">
        <f aca="false">1/(1+ASSUMPTIONS!C77)^1</f>
        <v>0.847457627118644</v>
      </c>
      <c r="D20" s="68" t="n">
        <f aca="false">1/(1+ASSUMPTIONS!C77)^2</f>
        <v>0.718184429761563</v>
      </c>
      <c r="E20" s="68" t="n">
        <f aca="false">1/(1+ASSUMPTIONS!C77)^3</f>
        <v>0.608630872679291</v>
      </c>
      <c r="F20" s="68" t="n">
        <f aca="false">1/(1+ASSUMPTIONS!C77)^4</f>
        <v>0.515788875151941</v>
      </c>
      <c r="G20" s="68" t="n">
        <f aca="false">1/(1+ASSUMPTIONS!C77)^5</f>
        <v>0.437109216230459</v>
      </c>
    </row>
    <row r="21" customFormat="false" ht="15" hidden="false" customHeight="true" outlineLevel="0" collapsed="false">
      <c r="B21" s="40" t="s">
        <v>421</v>
      </c>
      <c r="C21" s="69" t="n">
        <f aca="false">C19*C20</f>
        <v>-29194.9152542373</v>
      </c>
      <c r="D21" s="69" t="n">
        <f aca="false">D19*D20</f>
        <v>23708.7941683424</v>
      </c>
      <c r="E21" s="69" t="n">
        <f aca="false">E19*E20</f>
        <v>293028.589826613</v>
      </c>
      <c r="F21" s="69" t="n">
        <f aca="false">F19*F20</f>
        <v>788272.584166635</v>
      </c>
      <c r="G21" s="69" t="n">
        <f aca="false">G19*G20</f>
        <v>1753592.35459942</v>
      </c>
    </row>
    <row r="23" customFormat="false" ht="18" hidden="false" customHeight="true" outlineLevel="0" collapsed="false">
      <c r="B23" s="14" t="s">
        <v>422</v>
      </c>
      <c r="C23" s="14"/>
      <c r="D23" s="14"/>
      <c r="E23" s="14"/>
    </row>
    <row r="24" customFormat="false" ht="16.5" hidden="false" customHeight="true" outlineLevel="0" collapsed="false">
      <c r="B24" s="9" t="s">
        <v>423</v>
      </c>
      <c r="C24" s="49" t="n">
        <f aca="false">SUM(C21:G21)</f>
        <v>2829407.40750677</v>
      </c>
    </row>
    <row r="25" customFormat="false" ht="16.5" hidden="false" customHeight="true" outlineLevel="0" collapsed="false">
      <c r="B25" s="9" t="s">
        <v>424</v>
      </c>
      <c r="C25" s="49" t="n">
        <f aca="false">H19*(1+ASSUMPTIONS!C78)</f>
        <v>0</v>
      </c>
    </row>
    <row r="26" customFormat="false" ht="16.5" hidden="false" customHeight="true" outlineLevel="0" collapsed="false">
      <c r="B26" s="9" t="s">
        <v>425</v>
      </c>
      <c r="C26" s="49" t="n">
        <f aca="false">C25/(ASSUMPTIONS!C77-ASSUMPTIONS!C78)</f>
        <v>0</v>
      </c>
    </row>
    <row r="27" customFormat="false" ht="16.5" hidden="false" customHeight="true" outlineLevel="0" collapsed="false">
      <c r="B27" s="9" t="s">
        <v>426</v>
      </c>
      <c r="C27" s="49" t="n">
        <f aca="false">C26/(1+ASSUMPTIONS!C77)^5</f>
        <v>0</v>
      </c>
    </row>
    <row r="28" customFormat="false" ht="16.5" hidden="false" customHeight="true" outlineLevel="0" collapsed="false">
      <c r="B28" s="14" t="s">
        <v>427</v>
      </c>
      <c r="C28" s="70" t="n">
        <f aca="false">C24+C27</f>
        <v>2829407.40750677</v>
      </c>
    </row>
    <row r="29" customFormat="false" ht="16.5" hidden="false" customHeight="true" outlineLevel="0" collapsed="false">
      <c r="B29" s="9" t="s">
        <v>428</v>
      </c>
      <c r="C29" s="49" t="n">
        <f aca="false">0</f>
        <v>0</v>
      </c>
    </row>
    <row r="30" customFormat="false" ht="16.5" hidden="false" customHeight="true" outlineLevel="0" collapsed="false">
      <c r="B30" s="71" t="s">
        <v>429</v>
      </c>
      <c r="C30" s="72" t="n">
        <f aca="false">C28-C29</f>
        <v>2829407.40750677</v>
      </c>
    </row>
    <row r="32" customFormat="false" ht="18" hidden="false" customHeight="true" outlineLevel="0" collapsed="false">
      <c r="B32" s="14" t="s">
        <v>430</v>
      </c>
      <c r="C32" s="14"/>
      <c r="D32" s="14"/>
      <c r="E32" s="14"/>
    </row>
    <row r="33" customFormat="false" ht="21.75" hidden="false" customHeight="true" outlineLevel="0" collapsed="false">
      <c r="B33" s="63" t="s">
        <v>431</v>
      </c>
      <c r="C33" s="63" t="s">
        <v>432</v>
      </c>
      <c r="D33" s="63" t="s">
        <v>433</v>
      </c>
      <c r="E33" s="63" t="s">
        <v>434</v>
      </c>
    </row>
    <row r="34" customFormat="false" ht="15.75" hidden="false" customHeight="true" outlineLevel="0" collapsed="false">
      <c r="B34" s="9" t="s">
        <v>435</v>
      </c>
      <c r="C34" s="47" t="n">
        <f aca="false">'P&amp;L'!H13</f>
        <v>6687500</v>
      </c>
      <c r="D34" s="73" t="n">
        <f aca="false">ASSUMPTIONS!C79</f>
        <v>8</v>
      </c>
      <c r="E34" s="74" t="n">
        <f aca="false">C34*D34</f>
        <v>53500000</v>
      </c>
    </row>
    <row r="35" customFormat="false" ht="15.75" hidden="false" customHeight="true" outlineLevel="0" collapsed="false">
      <c r="B35" s="9" t="s">
        <v>436</v>
      </c>
      <c r="C35" s="47" t="n">
        <f aca="false">'P&amp;L'!H27</f>
        <v>5767937.215</v>
      </c>
      <c r="D35" s="73" t="n">
        <f aca="false">ASSUMPTIONS!C80</f>
        <v>20</v>
      </c>
      <c r="E35" s="74" t="n">
        <f aca="false">C35*D35</f>
        <v>115358744.3</v>
      </c>
    </row>
    <row r="37" customFormat="false" ht="18" hidden="false" customHeight="true" outlineLevel="0" collapsed="false">
      <c r="B37" s="14" t="s">
        <v>437</v>
      </c>
      <c r="C37" s="14"/>
      <c r="D37" s="14"/>
      <c r="E37" s="14"/>
    </row>
    <row r="38" customFormat="false" ht="15.75" hidden="false" customHeight="true" outlineLevel="0" collapsed="false">
      <c r="B38" s="9" t="s">
        <v>438</v>
      </c>
      <c r="C38" s="49" t="n">
        <f aca="false">C30</f>
        <v>2829407.40750677</v>
      </c>
    </row>
    <row r="39" customFormat="false" ht="15.75" hidden="false" customHeight="true" outlineLevel="0" collapsed="false">
      <c r="B39" s="9" t="s">
        <v>439</v>
      </c>
      <c r="C39" s="49" t="n">
        <f aca="false">E34</f>
        <v>53500000</v>
      </c>
    </row>
    <row r="40" customFormat="false" ht="15.75" hidden="false" customHeight="true" outlineLevel="0" collapsed="false">
      <c r="B40" s="9" t="s">
        <v>440</v>
      </c>
      <c r="C40" s="49" t="n">
        <f aca="false">E35</f>
        <v>115358744.3</v>
      </c>
    </row>
    <row r="41" customFormat="false" ht="19.5" hidden="false" customHeight="true" outlineLevel="0" collapsed="false">
      <c r="B41" s="75" t="s">
        <v>441</v>
      </c>
      <c r="C41" s="76" t="n">
        <f aca="false">AVERAGE(C38:C40)</f>
        <v>57229383.9025023</v>
      </c>
    </row>
    <row r="43" customFormat="false" ht="18" hidden="false" customHeight="true" outlineLevel="0" collapsed="false">
      <c r="B43" s="14" t="s">
        <v>442</v>
      </c>
      <c r="C43" s="14"/>
      <c r="D43" s="14"/>
      <c r="E43" s="14"/>
      <c r="F43" s="14"/>
      <c r="G43" s="14"/>
      <c r="H43" s="14"/>
      <c r="I43" s="14"/>
    </row>
    <row r="44" customFormat="false" ht="15.75" hidden="false" customHeight="true" outlineLevel="0" collapsed="false">
      <c r="B44" s="77" t="s">
        <v>443</v>
      </c>
      <c r="C44" s="78" t="n">
        <v>0.02</v>
      </c>
      <c r="D44" s="78" t="n">
        <v>0.03</v>
      </c>
      <c r="E44" s="78" t="n">
        <v>0.04</v>
      </c>
      <c r="F44" s="78" t="n">
        <v>0.05</v>
      </c>
      <c r="G44" s="78" t="n">
        <v>0.06</v>
      </c>
    </row>
    <row r="45" customFormat="false" ht="15.75" hidden="false" customHeight="true" outlineLevel="0" collapsed="false">
      <c r="B45" s="78" t="n">
        <v>0.12</v>
      </c>
      <c r="C45" s="79" t="n">
        <f aca="false">MAX(0,C24+C25/MAX(0.001,0.12-0.02)/(1+0.12)^5-C29)</f>
        <v>2829407.40750677</v>
      </c>
      <c r="D45" s="79" t="n">
        <f aca="false">MAX(0,C24+C25/MAX(0.001,0.12-0.03)/(1+0.12)^5-C29)</f>
        <v>2829407.40750677</v>
      </c>
      <c r="E45" s="79" t="n">
        <f aca="false">MAX(0,C24+C25/MAX(0.001,0.12-0.04)/(1+0.12)^5-C29)</f>
        <v>2829407.40750677</v>
      </c>
      <c r="F45" s="79" t="n">
        <f aca="false">MAX(0,C24+C25/MAX(0.001,0.12-0.05)/(1+0.12)^5-C29)</f>
        <v>2829407.40750677</v>
      </c>
      <c r="G45" s="79" t="n">
        <f aca="false">MAX(0,C24+C25/MAX(0.001,0.12-0.06)/(1+0.12)^5-C29)</f>
        <v>2829407.40750677</v>
      </c>
    </row>
    <row r="46" customFormat="false" ht="15.75" hidden="false" customHeight="true" outlineLevel="0" collapsed="false">
      <c r="B46" s="78" t="n">
        <v>0.15</v>
      </c>
      <c r="C46" s="80" t="n">
        <f aca="false">MAX(0,C24+C25/MAX(0.001,0.15-0.02)/(1+0.15)^5-C29)</f>
        <v>2829407.40750677</v>
      </c>
      <c r="D46" s="80" t="n">
        <f aca="false">MAX(0,C24+C25/MAX(0.001,0.15-0.03)/(1+0.15)^5-C29)</f>
        <v>2829407.40750677</v>
      </c>
      <c r="E46" s="80" t="n">
        <f aca="false">MAX(0,C24+C25/MAX(0.001,0.15-0.04)/(1+0.15)^5-C29)</f>
        <v>2829407.40750677</v>
      </c>
      <c r="F46" s="80" t="n">
        <f aca="false">MAX(0,C24+C25/MAX(0.001,0.15-0.05)/(1+0.15)^5-C29)</f>
        <v>2829407.40750677</v>
      </c>
      <c r="G46" s="80" t="n">
        <f aca="false">MAX(0,C24+C25/MAX(0.001,0.15-0.06)/(1+0.15)^5-C29)</f>
        <v>2829407.40750677</v>
      </c>
    </row>
    <row r="47" customFormat="false" ht="15.75" hidden="false" customHeight="true" outlineLevel="0" collapsed="false">
      <c r="B47" s="78" t="n">
        <v>0.18</v>
      </c>
      <c r="C47" s="79" t="n">
        <f aca="false">MAX(0,C24+C25/MAX(0.001,0.18-0.02)/(1+0.18)^5-C29)</f>
        <v>2829407.40750677</v>
      </c>
      <c r="D47" s="79" t="n">
        <f aca="false">MAX(0,C24+C25/MAX(0.001,0.18-0.03)/(1+0.18)^5-C29)</f>
        <v>2829407.40750677</v>
      </c>
      <c r="E47" s="81" t="n">
        <f aca="false">MAX(0,C24+C25/MAX(0.001,0.18-0.04)/(1+0.18)^5-C29)</f>
        <v>2829407.40750677</v>
      </c>
      <c r="F47" s="79" t="n">
        <f aca="false">MAX(0,C24+C25/MAX(0.001,0.18-0.05)/(1+0.18)^5-C29)</f>
        <v>2829407.40750677</v>
      </c>
      <c r="G47" s="79" t="n">
        <f aca="false">MAX(0,C24+C25/MAX(0.001,0.18-0.06)/(1+0.18)^5-C29)</f>
        <v>2829407.40750677</v>
      </c>
    </row>
    <row r="48" customFormat="false" ht="15.75" hidden="false" customHeight="true" outlineLevel="0" collapsed="false">
      <c r="B48" s="78" t="n">
        <v>0.21</v>
      </c>
      <c r="C48" s="80" t="n">
        <f aca="false">MAX(0,C24+C25/MAX(0.001,0.21-0.02)/(1+0.21)^5-C29)</f>
        <v>2829407.40750677</v>
      </c>
      <c r="D48" s="80" t="n">
        <f aca="false">MAX(0,C24+C25/MAX(0.001,0.21-0.03)/(1+0.21)^5-C29)</f>
        <v>2829407.40750677</v>
      </c>
      <c r="E48" s="80" t="n">
        <f aca="false">MAX(0,C24+C25/MAX(0.001,0.21-0.04)/(1+0.21)^5-C29)</f>
        <v>2829407.40750677</v>
      </c>
      <c r="F48" s="80" t="n">
        <f aca="false">MAX(0,C24+C25/MAX(0.001,0.21-0.05)/(1+0.21)^5-C29)</f>
        <v>2829407.40750677</v>
      </c>
      <c r="G48" s="80" t="n">
        <f aca="false">MAX(0,C24+C25/MAX(0.001,0.21-0.06)/(1+0.21)^5-C29)</f>
        <v>2829407.40750677</v>
      </c>
    </row>
    <row r="49" customFormat="false" ht="15.75" hidden="false" customHeight="true" outlineLevel="0" collapsed="false">
      <c r="B49" s="78" t="n">
        <v>0.24</v>
      </c>
      <c r="C49" s="79" t="n">
        <f aca="false">MAX(0,C24+C25/MAX(0.001,0.24-0.02)/(1+0.24)^5-C29)</f>
        <v>2829407.40750677</v>
      </c>
      <c r="D49" s="79" t="n">
        <f aca="false">MAX(0,C24+C25/MAX(0.001,0.24-0.03)/(1+0.24)^5-C29)</f>
        <v>2829407.40750677</v>
      </c>
      <c r="E49" s="79" t="n">
        <f aca="false">MAX(0,C24+C25/MAX(0.001,0.24-0.04)/(1+0.24)^5-C29)</f>
        <v>2829407.40750677</v>
      </c>
      <c r="F49" s="79" t="n">
        <f aca="false">MAX(0,C24+C25/MAX(0.001,0.24-0.05)/(1+0.24)^5-C29)</f>
        <v>2829407.40750677</v>
      </c>
      <c r="G49" s="79" t="n">
        <f aca="false">MAX(0,C24+C25/MAX(0.001,0.24-0.06)/(1+0.24)^5-C29)</f>
        <v>2829407.40750677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8" min="4" style="1" width="14"/>
    <col collapsed="false" customWidth="true" hidden="false" outlineLevel="0" max="9" min="9" style="1" width="22"/>
  </cols>
  <sheetData>
    <row r="1" customFormat="false" ht="27.75" hidden="false" customHeight="true" outlineLevel="0" collapsed="false">
      <c r="B1" s="17" t="s">
        <v>444</v>
      </c>
      <c r="C1" s="17"/>
      <c r="D1" s="17"/>
      <c r="E1" s="17"/>
      <c r="F1" s="17"/>
      <c r="G1" s="17"/>
      <c r="H1" s="17"/>
    </row>
    <row r="2" customFormat="false" ht="6" hidden="false" customHeight="true" outlineLevel="0" collapsed="false"/>
    <row r="3" customFormat="false" ht="21.75" hidden="false" customHeight="true" outlineLevel="0" collapsed="false">
      <c r="B3" s="19" t="s">
        <v>445</v>
      </c>
      <c r="C3" s="20" t="s">
        <v>221</v>
      </c>
      <c r="D3" s="20" t="s">
        <v>222</v>
      </c>
      <c r="E3" s="20" t="s">
        <v>223</v>
      </c>
      <c r="F3" s="20" t="s">
        <v>224</v>
      </c>
      <c r="G3" s="20" t="s">
        <v>225</v>
      </c>
      <c r="H3" s="20" t="s">
        <v>56</v>
      </c>
    </row>
    <row r="4" customFormat="false" ht="18" hidden="false" customHeight="true" outlineLevel="0" collapsed="false">
      <c r="B4" s="14" t="s">
        <v>446</v>
      </c>
      <c r="C4" s="14"/>
      <c r="D4" s="14"/>
      <c r="E4" s="14"/>
      <c r="F4" s="14"/>
      <c r="G4" s="14"/>
      <c r="H4" s="14"/>
    </row>
    <row r="5" customFormat="false" ht="15.75" hidden="false" customHeight="true" outlineLevel="0" collapsed="false">
      <c r="B5" s="9" t="s">
        <v>447</v>
      </c>
      <c r="D5" s="82" t="n">
        <f aca="false">ASSUMPTIONS!C11</f>
        <v>10</v>
      </c>
      <c r="E5" s="82" t="n">
        <f aca="false">ASSUMPTIONS!C12</f>
        <v>35</v>
      </c>
      <c r="F5" s="82" t="n">
        <f aca="false">ASSUMPTIONS!C13</f>
        <v>80</v>
      </c>
      <c r="G5" s="82" t="n">
        <f aca="false">ASSUMPTIONS!C14</f>
        <v>150</v>
      </c>
      <c r="H5" s="82" t="n">
        <f aca="false">ASSUMPTIONS!C15</f>
        <v>250</v>
      </c>
      <c r="I5" s="33" t="s">
        <v>448</v>
      </c>
    </row>
    <row r="6" customFormat="false" ht="15.75" hidden="false" customHeight="true" outlineLevel="0" collapsed="false">
      <c r="B6" s="9" t="s">
        <v>449</v>
      </c>
      <c r="D6" s="82" t="n">
        <f aca="false">ASSUMPTIONS!C17</f>
        <v>500</v>
      </c>
      <c r="E6" s="82" t="n">
        <f aca="false">ASSUMPTIONS!C18</f>
        <v>2500</v>
      </c>
      <c r="F6" s="82" t="n">
        <f aca="false">ASSUMPTIONS!C19</f>
        <v>8000</v>
      </c>
      <c r="G6" s="82" t="n">
        <f aca="false">ASSUMPTIONS!C20</f>
        <v>20000</v>
      </c>
      <c r="H6" s="82" t="n">
        <f aca="false">ASSUMPTIONS!C21</f>
        <v>45000</v>
      </c>
      <c r="I6" s="33" t="s">
        <v>450</v>
      </c>
    </row>
    <row r="7" customFormat="false" ht="15.75" hidden="false" customHeight="true" outlineLevel="0" collapsed="false">
      <c r="B7" s="9" t="s">
        <v>451</v>
      </c>
      <c r="D7" s="49" t="n">
        <f aca="false">ASSUMPTIONS!C23</f>
        <v>250000</v>
      </c>
      <c r="E7" s="49" t="n">
        <f aca="false">ASSUMPTIONS!C24</f>
        <v>1500000</v>
      </c>
      <c r="F7" s="49" t="n">
        <f aca="false">ASSUMPTIONS!C25</f>
        <v>6000000</v>
      </c>
      <c r="G7" s="49" t="n">
        <f aca="false">ASSUMPTIONS!C26</f>
        <v>20000000</v>
      </c>
      <c r="H7" s="49" t="n">
        <f aca="false">ASSUMPTIONS!C27</f>
        <v>60000000</v>
      </c>
      <c r="I7" s="33" t="s">
        <v>452</v>
      </c>
    </row>
    <row r="8" customFormat="false" ht="15.75" hidden="false" customHeight="true" outlineLevel="0" collapsed="false">
      <c r="B8" s="9" t="s">
        <v>235</v>
      </c>
      <c r="D8" s="49" t="n">
        <f aca="false">ASSUMPTIONS!C23*12</f>
        <v>3000000</v>
      </c>
      <c r="E8" s="49" t="n">
        <f aca="false">ASSUMPTIONS!C24*12</f>
        <v>18000000</v>
      </c>
      <c r="F8" s="49" t="n">
        <f aca="false">ASSUMPTIONS!C25*12</f>
        <v>72000000</v>
      </c>
      <c r="G8" s="49" t="n">
        <f aca="false">ASSUMPTIONS!C26*12</f>
        <v>240000000</v>
      </c>
      <c r="H8" s="49" t="n">
        <f aca="false">ASSUMPTIONS!C27*12</f>
        <v>720000000</v>
      </c>
      <c r="I8" s="33" t="s">
        <v>453</v>
      </c>
    </row>
    <row r="9" customFormat="false" ht="15.75" hidden="false" customHeight="true" outlineLevel="0" collapsed="false">
      <c r="B9" s="9" t="s">
        <v>454</v>
      </c>
      <c r="D9" s="82" t="n">
        <f aca="false">0</f>
        <v>0</v>
      </c>
      <c r="E9" s="82" t="n">
        <f aca="false">ASSUMPTIONS!C12/8</f>
        <v>4.375</v>
      </c>
      <c r="F9" s="82" t="n">
        <f aca="false">ASSUMPTIONS!C13/12</f>
        <v>6.66666666666667</v>
      </c>
      <c r="G9" s="82" t="n">
        <f aca="false">ASSUMPTIONS!C14/18</f>
        <v>8.33333333333333</v>
      </c>
      <c r="H9" s="82" t="n">
        <f aca="false">ASSUMPTIONS!C15/25</f>
        <v>10</v>
      </c>
      <c r="I9" s="33" t="s">
        <v>455</v>
      </c>
    </row>
    <row r="10" customFormat="false" ht="18" hidden="false" customHeight="true" outlineLevel="0" collapsed="false">
      <c r="B10" s="14" t="s">
        <v>456</v>
      </c>
      <c r="C10" s="14"/>
      <c r="D10" s="14"/>
      <c r="E10" s="14"/>
      <c r="F10" s="14"/>
      <c r="G10" s="14"/>
      <c r="H10" s="14"/>
    </row>
    <row r="11" customFormat="false" ht="15.75" hidden="false" customHeight="true" outlineLevel="0" collapsed="false">
      <c r="B11" s="9" t="s">
        <v>457</v>
      </c>
      <c r="D11" s="47" t="n">
        <f aca="false">'P&amp;L'!D13</f>
        <v>122500</v>
      </c>
      <c r="E11" s="47" t="n">
        <f aca="false">'P&amp;L'!E13</f>
        <v>488750</v>
      </c>
      <c r="F11" s="47" t="n">
        <f aca="false">'P&amp;L'!F13</f>
        <v>1245000</v>
      </c>
      <c r="G11" s="47" t="n">
        <f aca="false">'P&amp;L'!G13</f>
        <v>2896250</v>
      </c>
      <c r="H11" s="47" t="n">
        <f aca="false">'P&amp;L'!H13</f>
        <v>6687500</v>
      </c>
    </row>
    <row r="12" customFormat="false" ht="15.75" hidden="false" customHeight="true" outlineLevel="0" collapsed="false">
      <c r="B12" s="9" t="s">
        <v>458</v>
      </c>
      <c r="D12" s="47" t="n">
        <f aca="false">IFERROR('P&amp;L'!D13/ASSUMPTIONS!C11,0)</f>
        <v>12250</v>
      </c>
      <c r="E12" s="47" t="n">
        <f aca="false">IFERROR('P&amp;L'!E13/ASSUMPTIONS!C12,0)</f>
        <v>13964.2857142857</v>
      </c>
      <c r="F12" s="47" t="n">
        <f aca="false">IFERROR('P&amp;L'!F13/ASSUMPTIONS!C13,0)</f>
        <v>15562.5</v>
      </c>
      <c r="G12" s="47" t="n">
        <f aca="false">IFERROR('P&amp;L'!G13/ASSUMPTIONS!C14,0)</f>
        <v>19308.3333333333</v>
      </c>
      <c r="H12" s="47" t="n">
        <f aca="false">IFERROR('P&amp;L'!H13/ASSUMPTIONS!C15,0)</f>
        <v>26750</v>
      </c>
      <c r="I12" s="33" t="s">
        <v>459</v>
      </c>
    </row>
    <row r="13" customFormat="false" ht="15.75" hidden="false" customHeight="true" outlineLevel="0" collapsed="false">
      <c r="B13" s="9" t="s">
        <v>460</v>
      </c>
      <c r="D13" s="47" t="n">
        <f aca="false">IFERROR('P&amp;L'!D13/ASSUMPTIONS!C17,0)</f>
        <v>245</v>
      </c>
      <c r="E13" s="47" t="n">
        <f aca="false">IFERROR('P&amp;L'!E13/ASSUMPTIONS!C18,0)</f>
        <v>195.5</v>
      </c>
      <c r="F13" s="47" t="n">
        <f aca="false">IFERROR('P&amp;L'!F13/ASSUMPTIONS!C19,0)</f>
        <v>155.625</v>
      </c>
      <c r="G13" s="47" t="n">
        <f aca="false">IFERROR('P&amp;L'!G13/ASSUMPTIONS!C20,0)</f>
        <v>144.8125</v>
      </c>
      <c r="H13" s="47" t="n">
        <f aca="false">IFERROR('P&amp;L'!H13/ASSUMPTIONS!C21,0)</f>
        <v>148.611111111111</v>
      </c>
      <c r="I13" s="33" t="s">
        <v>461</v>
      </c>
    </row>
    <row r="14" customFormat="false" ht="15.75" hidden="false" customHeight="true" outlineLevel="0" collapsed="false">
      <c r="B14" s="9" t="s">
        <v>462</v>
      </c>
      <c r="D14" s="47" t="n">
        <f aca="false">'P&amp;L'!D27</f>
        <v>-19450</v>
      </c>
      <c r="E14" s="47" t="n">
        <f aca="false">'P&amp;L'!E27</f>
        <v>95820</v>
      </c>
      <c r="F14" s="47" t="n">
        <f aca="false">'P&amp;L'!F27</f>
        <v>738811</v>
      </c>
      <c r="G14" s="47" t="n">
        <f aca="false">'P&amp;L'!G27</f>
        <v>2235294.8</v>
      </c>
      <c r="H14" s="47" t="n">
        <f aca="false">'P&amp;L'!H27</f>
        <v>5767937.215</v>
      </c>
    </row>
    <row r="15" customFormat="false" ht="15.75" hidden="false" customHeight="true" outlineLevel="0" collapsed="false">
      <c r="B15" s="9" t="s">
        <v>396</v>
      </c>
      <c r="D15" s="83" t="n">
        <f aca="false">'P&amp;L'!D28</f>
        <v>-0.158775510204082</v>
      </c>
      <c r="E15" s="83" t="n">
        <f aca="false">'P&amp;L'!E28</f>
        <v>0.196051150895141</v>
      </c>
      <c r="F15" s="83" t="n">
        <f aca="false">'P&amp;L'!F28</f>
        <v>0.593422489959839</v>
      </c>
      <c r="G15" s="83" t="n">
        <f aca="false">'P&amp;L'!G28</f>
        <v>0.771789313767803</v>
      </c>
      <c r="H15" s="83" t="n">
        <f aca="false">'P&amp;L'!H28</f>
        <v>0.862495284485981</v>
      </c>
    </row>
    <row r="16" customFormat="false" ht="15.75" hidden="false" customHeight="true" outlineLevel="0" collapsed="false">
      <c r="B16" s="9" t="s">
        <v>463</v>
      </c>
      <c r="D16" s="47" t="n">
        <f aca="false">'P&amp;L'!D36</f>
        <v>-19450</v>
      </c>
      <c r="E16" s="47" t="n">
        <f aca="false">'P&amp;L'!E36</f>
        <v>69773.625</v>
      </c>
      <c r="F16" s="47" t="n">
        <f aca="false">'P&amp;L'!F36</f>
        <v>547666.95</v>
      </c>
      <c r="G16" s="47" t="n">
        <f aca="false">'P&amp;L'!G36</f>
        <v>1668478.335</v>
      </c>
      <c r="H16" s="47" t="n">
        <f aca="false">'P&amp;L'!H36</f>
        <v>4315928.1105</v>
      </c>
    </row>
    <row r="17" customFormat="false" ht="15.75" hidden="false" customHeight="true" outlineLevel="0" collapsed="false">
      <c r="B17" s="9" t="s">
        <v>464</v>
      </c>
      <c r="D17" s="83" t="n">
        <f aca="false">'P&amp;L'!D37</f>
        <v>-0.158775510204082</v>
      </c>
      <c r="E17" s="83" t="n">
        <f aca="false">'P&amp;L'!E37</f>
        <v>0.142759335038363</v>
      </c>
      <c r="F17" s="83" t="n">
        <f aca="false">'P&amp;L'!F37</f>
        <v>0.43989313253012</v>
      </c>
      <c r="G17" s="83" t="n">
        <f aca="false">'P&amp;L'!G37</f>
        <v>0.576082290893397</v>
      </c>
      <c r="H17" s="83" t="n">
        <f aca="false">'P&amp;L'!H37</f>
        <v>0.645372427738318</v>
      </c>
    </row>
    <row r="18" customFormat="false" ht="15.75" hidden="false" customHeight="true" outlineLevel="0" collapsed="false">
      <c r="B18" s="9" t="s">
        <v>465</v>
      </c>
      <c r="D18" s="49" t="n">
        <f aca="false">'CASH FLOW'!D21</f>
        <v>115550</v>
      </c>
      <c r="E18" s="49" t="n">
        <f aca="false">'CASH FLOW'!E21</f>
        <v>148562.125</v>
      </c>
      <c r="F18" s="49" t="n">
        <f aca="false">'CASH FLOW'!F21</f>
        <v>630017.475</v>
      </c>
      <c r="G18" s="49" t="n">
        <f aca="false">'CASH FLOW'!G21</f>
        <v>2158302.83</v>
      </c>
      <c r="H18" s="49" t="n">
        <f aca="false">'CASH FLOW'!H21</f>
        <v>6170097.3415</v>
      </c>
    </row>
    <row r="19" customFormat="false" ht="18" hidden="false" customHeight="true" outlineLevel="0" collapsed="false">
      <c r="B19" s="14" t="s">
        <v>466</v>
      </c>
      <c r="C19" s="14"/>
      <c r="D19" s="14"/>
      <c r="E19" s="14"/>
      <c r="F19" s="14"/>
      <c r="G19" s="14"/>
      <c r="H19" s="14"/>
    </row>
    <row r="20" customFormat="false" ht="15.75" hidden="false" customHeight="true" outlineLevel="0" collapsed="false">
      <c r="B20" s="9" t="s">
        <v>467</v>
      </c>
      <c r="D20" s="84" t="n">
        <f aca="false">ASSUMPTIONS!C30</f>
        <v>0.005</v>
      </c>
      <c r="E20" s="84" t="n">
        <f aca="false">ASSUMPTIONS!C30</f>
        <v>0.005</v>
      </c>
      <c r="F20" s="84" t="n">
        <f aca="false">ASSUMPTIONS!C30</f>
        <v>0.005</v>
      </c>
      <c r="G20" s="84" t="n">
        <f aca="false">ASSUMPTIONS!C30</f>
        <v>0.005</v>
      </c>
      <c r="H20" s="84" t="n">
        <f aca="false">ASSUMPTIONS!C30</f>
        <v>0.005</v>
      </c>
      <c r="I20" s="33" t="s">
        <v>468</v>
      </c>
    </row>
    <row r="21" customFormat="false" ht="15.75" hidden="false" customHeight="true" outlineLevel="0" collapsed="false">
      <c r="B21" s="9" t="s">
        <v>469</v>
      </c>
      <c r="D21" s="49" t="n">
        <f aca="false">ASSUMPTIONS!C33</f>
        <v>5000</v>
      </c>
      <c r="E21" s="49" t="n">
        <f aca="false">ASSUMPTIONS!C33</f>
        <v>5000</v>
      </c>
      <c r="F21" s="49" t="n">
        <f aca="false">ASSUMPTIONS!C33</f>
        <v>5000</v>
      </c>
      <c r="G21" s="49" t="n">
        <f aca="false">ASSUMPTIONS!C33</f>
        <v>5000</v>
      </c>
      <c r="H21" s="49" t="n">
        <f aca="false">ASSUMPTIONS!C33</f>
        <v>5000</v>
      </c>
      <c r="I21" s="33" t="s">
        <v>470</v>
      </c>
    </row>
    <row r="22" customFormat="false" ht="15.75" hidden="false" customHeight="true" outlineLevel="0" collapsed="false">
      <c r="B22" s="9" t="s">
        <v>471</v>
      </c>
      <c r="D22" s="47" t="n">
        <f aca="false">IFERROR(REVENUE!D13/MAX(1,ASSUMPTIONS!C17),0)</f>
        <v>30</v>
      </c>
      <c r="E22" s="47" t="n">
        <f aca="false">IFERROR(REVENUE!E13/MAX(1,ASSUMPTIONS!C18),0)</f>
        <v>36</v>
      </c>
      <c r="F22" s="47" t="n">
        <f aca="false">IFERROR(REVENUE!F13/MAX(1,ASSUMPTIONS!C19),0)</f>
        <v>45</v>
      </c>
      <c r="G22" s="47" t="n">
        <f aca="false">IFERROR(REVENUE!G13/MAX(1,ASSUMPTIONS!C20),0)</f>
        <v>60</v>
      </c>
      <c r="H22" s="47" t="n">
        <f aca="false">IFERROR(REVENUE!H13/MAX(1,ASSUMPTIONS!C21),0)</f>
        <v>80</v>
      </c>
      <c r="I22" s="33" t="s">
        <v>472</v>
      </c>
    </row>
    <row r="23" customFormat="false" ht="15.75" hidden="false" customHeight="true" outlineLevel="0" collapsed="false">
      <c r="B23" s="9" t="s">
        <v>473</v>
      </c>
      <c r="D23" s="47" t="n">
        <f aca="false">IFERROR(OPEX!D33/MAX(1,REVENUE!D9),0)</f>
        <v>30</v>
      </c>
      <c r="E23" s="47" t="n">
        <f aca="false">IFERROR(OPEX!E33/MAX(1,REVENUE!E9),0)</f>
        <v>14.625</v>
      </c>
      <c r="F23" s="47" t="n">
        <f aca="false">IFERROR(OPEX!F33/MAX(1,REVENUE!F9),0)</f>
        <v>9.43181818181818</v>
      </c>
      <c r="G23" s="47" t="n">
        <f aca="false">IFERROR(OPEX!G33/MAX(1,REVENUE!G9),0)</f>
        <v>7.109375</v>
      </c>
      <c r="H23" s="47" t="n">
        <f aca="false">IFERROR(OPEX!H33/MAX(1,REVENUE!H9),0)</f>
        <v>5.51875</v>
      </c>
      <c r="I23" s="33" t="s">
        <v>474</v>
      </c>
    </row>
  </sheetData>
  <mergeCells count="1">
    <mergeCell ref="B1:H1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</cols>
  <sheetData>
    <row r="1" customFormat="false" ht="27.75" hidden="false" customHeight="true" outlineLevel="0" collapsed="false">
      <c r="B1" s="17" t="s">
        <v>475</v>
      </c>
      <c r="C1" s="17"/>
      <c r="D1" s="17"/>
      <c r="E1" s="17"/>
      <c r="F1" s="17"/>
      <c r="G1" s="17"/>
      <c r="H1" s="17"/>
      <c r="I1" s="17"/>
      <c r="J1" s="17"/>
      <c r="K1" s="17"/>
      <c r="L1" s="17"/>
    </row>
    <row r="3" customFormat="false" ht="15" hidden="false" customHeight="true" outlineLevel="0" collapsed="false">
      <c r="B3" s="85" t="s">
        <v>476</v>
      </c>
      <c r="C3" s="85"/>
      <c r="D3" s="85"/>
      <c r="E3" s="85"/>
      <c r="F3" s="85"/>
      <c r="G3" s="85"/>
    </row>
    <row r="4" customFormat="false" ht="21.75" hidden="false" customHeight="true" outlineLevel="0" collapsed="false">
      <c r="B4" s="53" t="s">
        <v>431</v>
      </c>
      <c r="C4" s="63" t="s">
        <v>221</v>
      </c>
      <c r="D4" s="63" t="s">
        <v>222</v>
      </c>
      <c r="E4" s="63" t="s">
        <v>223</v>
      </c>
      <c r="F4" s="63" t="s">
        <v>224</v>
      </c>
      <c r="G4" s="63" t="s">
        <v>225</v>
      </c>
    </row>
    <row r="5" customFormat="false" ht="15" hidden="false" customHeight="true" outlineLevel="0" collapsed="false">
      <c r="B5" s="9" t="s">
        <v>393</v>
      </c>
      <c r="C5" s="86" t="n">
        <f aca="false">'P&amp;L'!D13</f>
        <v>122500</v>
      </c>
      <c r="D5" s="86" t="n">
        <f aca="false">'P&amp;L'!E13</f>
        <v>488750</v>
      </c>
      <c r="E5" s="86" t="n">
        <f aca="false">'P&amp;L'!F13</f>
        <v>1245000</v>
      </c>
      <c r="F5" s="86" t="n">
        <f aca="false">'P&amp;L'!G13</f>
        <v>2896250</v>
      </c>
      <c r="G5" s="86" t="n">
        <f aca="false">'P&amp;L'!H13</f>
        <v>6687500</v>
      </c>
    </row>
    <row r="6" customFormat="false" ht="15" hidden="false" customHeight="true" outlineLevel="0" collapsed="false">
      <c r="B6" s="9" t="s">
        <v>354</v>
      </c>
      <c r="C6" s="86" t="n">
        <f aca="false">'P&amp;L'!D27</f>
        <v>-19450</v>
      </c>
      <c r="D6" s="86" t="n">
        <f aca="false">'P&amp;L'!E27</f>
        <v>95820</v>
      </c>
      <c r="E6" s="86" t="n">
        <f aca="false">'P&amp;L'!F27</f>
        <v>738811</v>
      </c>
      <c r="F6" s="86" t="n">
        <f aca="false">'P&amp;L'!G27</f>
        <v>2235294.8</v>
      </c>
      <c r="G6" s="86" t="n">
        <f aca="false">'P&amp;L'!H27</f>
        <v>5767937.215</v>
      </c>
    </row>
    <row r="7" customFormat="false" ht="15" hidden="false" customHeight="true" outlineLevel="0" collapsed="false">
      <c r="B7" s="9" t="s">
        <v>477</v>
      </c>
      <c r="C7" s="86" t="n">
        <f aca="false">'P&amp;L'!D36</f>
        <v>-19450</v>
      </c>
      <c r="D7" s="86" t="n">
        <f aca="false">'P&amp;L'!E36</f>
        <v>69773.625</v>
      </c>
      <c r="E7" s="86" t="n">
        <f aca="false">'P&amp;L'!F36</f>
        <v>547666.95</v>
      </c>
      <c r="F7" s="86" t="n">
        <f aca="false">'P&amp;L'!G36</f>
        <v>1668478.335</v>
      </c>
      <c r="G7" s="86" t="n">
        <f aca="false">'P&amp;L'!H36</f>
        <v>4315928.1105</v>
      </c>
    </row>
    <row r="8" customFormat="false" ht="15" hidden="false" customHeight="true" outlineLevel="0" collapsed="false">
      <c r="B8" s="9" t="s">
        <v>478</v>
      </c>
      <c r="C8" s="86" t="n">
        <f aca="false">REVENUE!D13</f>
        <v>15000</v>
      </c>
      <c r="D8" s="86" t="n">
        <f aca="false">REVENUE!E13</f>
        <v>90000</v>
      </c>
      <c r="E8" s="86" t="n">
        <f aca="false">REVENUE!F13</f>
        <v>360000</v>
      </c>
      <c r="F8" s="86" t="n">
        <f aca="false">REVENUE!G13</f>
        <v>1200000</v>
      </c>
      <c r="G8" s="86" t="n">
        <f aca="false">REVENUE!H13</f>
        <v>3600000</v>
      </c>
    </row>
    <row r="9" customFormat="false" ht="15" hidden="false" customHeight="true" outlineLevel="0" collapsed="false">
      <c r="B9" s="9" t="s">
        <v>479</v>
      </c>
      <c r="C9" s="86" t="n">
        <f aca="false">REVENUE!D15</f>
        <v>50000</v>
      </c>
      <c r="D9" s="86" t="n">
        <f aca="false">REVENUE!E15</f>
        <v>125000</v>
      </c>
      <c r="E9" s="86" t="n">
        <f aca="false">REVENUE!F15</f>
        <v>225000</v>
      </c>
      <c r="F9" s="86" t="n">
        <f aca="false">REVENUE!G15</f>
        <v>350000</v>
      </c>
      <c r="G9" s="86" t="n">
        <f aca="false">REVENUE!H15</f>
        <v>500000</v>
      </c>
    </row>
    <row r="10" customFormat="false" ht="15" hidden="false" customHeight="true" outlineLevel="0" collapsed="false">
      <c r="B10" s="9" t="s">
        <v>480</v>
      </c>
      <c r="C10" s="86" t="n">
        <f aca="false">REVENUE!D18</f>
        <v>0</v>
      </c>
      <c r="D10" s="86" t="n">
        <f aca="false">REVENUE!E18</f>
        <v>100000</v>
      </c>
      <c r="E10" s="86" t="n">
        <f aca="false">REVENUE!F18</f>
        <v>250000</v>
      </c>
      <c r="F10" s="86" t="n">
        <f aca="false">REVENUE!G18</f>
        <v>500000</v>
      </c>
      <c r="G10" s="86" t="n">
        <f aca="false">REVENUE!H18</f>
        <v>900000</v>
      </c>
    </row>
    <row r="11" customFormat="false" ht="15" hidden="false" customHeight="true" outlineLevel="0" collapsed="false">
      <c r="B11" s="9" t="s">
        <v>395</v>
      </c>
      <c r="C11" s="86" t="n">
        <f aca="false">OPEX!D44</f>
        <v>221950</v>
      </c>
      <c r="D11" s="86" t="n">
        <f aca="false">OPEX!E44</f>
        <v>395718.5</v>
      </c>
      <c r="E11" s="86" t="n">
        <f aca="false">OPEX!F44</f>
        <v>514777.4</v>
      </c>
      <c r="F11" s="86" t="n">
        <f aca="false">OPEX!G44</f>
        <v>671612.22</v>
      </c>
      <c r="G11" s="86" t="n">
        <f aca="false">OPEX!H44</f>
        <v>932929.186</v>
      </c>
    </row>
    <row r="12" customFormat="false" ht="15" hidden="false" customHeight="true" outlineLevel="0" collapsed="false">
      <c r="B12" s="9" t="s">
        <v>398</v>
      </c>
      <c r="C12" s="86" t="n">
        <f aca="false">'CASH FLOW'!D21</f>
        <v>115550</v>
      </c>
      <c r="D12" s="86" t="n">
        <f aca="false">'CASH FLOW'!E21</f>
        <v>148562.125</v>
      </c>
      <c r="E12" s="86" t="n">
        <f aca="false">'CASH FLOW'!F21</f>
        <v>630017.475</v>
      </c>
      <c r="F12" s="86" t="n">
        <f aca="false">'CASH FLOW'!G21</f>
        <v>2158302.83</v>
      </c>
      <c r="G12" s="86" t="n">
        <f aca="false">'CASH FLOW'!H21</f>
        <v>6170097.3415</v>
      </c>
    </row>
  </sheetData>
  <mergeCells count="2">
    <mergeCell ref="B1:L1"/>
    <mergeCell ref="B3:G3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8" min="4" style="1" width="14"/>
  </cols>
  <sheetData>
    <row r="1" customFormat="false" ht="27.75" hidden="false" customHeight="true" outlineLevel="0" collapsed="false">
      <c r="B1" s="17" t="s">
        <v>481</v>
      </c>
      <c r="C1" s="17"/>
      <c r="D1" s="17"/>
      <c r="E1" s="17"/>
      <c r="F1" s="17"/>
      <c r="G1" s="17"/>
      <c r="H1" s="17"/>
    </row>
    <row r="2" customFormat="false" ht="18" hidden="false" customHeight="true" outlineLevel="0" collapsed="false">
      <c r="B2" s="31" t="s">
        <v>482</v>
      </c>
      <c r="C2" s="31"/>
      <c r="D2" s="31"/>
      <c r="E2" s="31"/>
      <c r="F2" s="31"/>
      <c r="G2" s="31"/>
      <c r="H2" s="31"/>
    </row>
    <row r="3" customFormat="false" ht="6" hidden="false" customHeight="true" outlineLevel="0" collapsed="false"/>
    <row r="4" customFormat="false" ht="21.75" hidden="false" customHeight="true" outlineLevel="0" collapsed="false">
      <c r="B4" s="19" t="s">
        <v>483</v>
      </c>
      <c r="C4" s="20" t="s">
        <v>221</v>
      </c>
      <c r="D4" s="20" t="s">
        <v>222</v>
      </c>
      <c r="E4" s="20" t="s">
        <v>223</v>
      </c>
      <c r="F4" s="20" t="s">
        <v>224</v>
      </c>
      <c r="G4" s="20" t="s">
        <v>225</v>
      </c>
      <c r="H4" s="20" t="s">
        <v>56</v>
      </c>
    </row>
    <row r="5" customFormat="false" ht="18" hidden="false" customHeight="true" outlineLevel="0" collapsed="false">
      <c r="B5" s="14" t="s">
        <v>484</v>
      </c>
      <c r="C5" s="14"/>
      <c r="D5" s="14"/>
      <c r="E5" s="14"/>
      <c r="F5" s="14"/>
      <c r="G5" s="14"/>
      <c r="H5" s="14"/>
    </row>
    <row r="6" customFormat="false" ht="15" hidden="false" customHeight="true" outlineLevel="0" collapsed="false">
      <c r="B6" s="9" t="s">
        <v>485</v>
      </c>
      <c r="D6" s="47" t="n">
        <f aca="false">'CASH FLOW'!D21</f>
        <v>115550</v>
      </c>
      <c r="E6" s="47" t="n">
        <f aca="false">'CASH FLOW'!E21</f>
        <v>148562.125</v>
      </c>
      <c r="F6" s="47" t="n">
        <f aca="false">'CASH FLOW'!F21</f>
        <v>630017.475</v>
      </c>
      <c r="G6" s="47" t="n">
        <f aca="false">'CASH FLOW'!G21</f>
        <v>2158302.83</v>
      </c>
      <c r="H6" s="47" t="n">
        <f aca="false">'CASH FLOW'!H21</f>
        <v>6170097.3415</v>
      </c>
    </row>
    <row r="7" customFormat="false" ht="15" hidden="false" customHeight="true" outlineLevel="0" collapsed="false">
      <c r="B7" s="9" t="s">
        <v>486</v>
      </c>
      <c r="D7" s="47" t="n">
        <f aca="false">'P&amp;L'!D13*0.04</f>
        <v>4900</v>
      </c>
      <c r="E7" s="47" t="n">
        <f aca="false">'P&amp;L'!E13*0.04</f>
        <v>19550</v>
      </c>
      <c r="F7" s="47" t="n">
        <f aca="false">'P&amp;L'!F13*0.04</f>
        <v>49800</v>
      </c>
      <c r="G7" s="47" t="n">
        <f aca="false">'P&amp;L'!G13*0.04</f>
        <v>115850</v>
      </c>
      <c r="H7" s="47" t="n">
        <f aca="false">'P&amp;L'!H13*0.04</f>
        <v>267500</v>
      </c>
    </row>
    <row r="8" customFormat="false" ht="15" hidden="false" customHeight="true" outlineLevel="0" collapsed="false">
      <c r="B8" s="9" t="s">
        <v>487</v>
      </c>
      <c r="D8" s="49" t="n">
        <f aca="false">5000</f>
        <v>5000</v>
      </c>
      <c r="E8" s="49" t="n">
        <f aca="false">8000</f>
        <v>8000</v>
      </c>
      <c r="F8" s="49" t="n">
        <f aca="false">12000</f>
        <v>12000</v>
      </c>
      <c r="G8" s="49" t="n">
        <f aca="false">18000</f>
        <v>18000</v>
      </c>
      <c r="H8" s="49" t="n">
        <f aca="false">25000</f>
        <v>25000</v>
      </c>
    </row>
    <row r="9" customFormat="false" ht="15.75" hidden="false" customHeight="true" outlineLevel="0" collapsed="false">
      <c r="B9" s="38" t="s">
        <v>488</v>
      </c>
      <c r="D9" s="39" t="n">
        <f aca="false">SUM(D6:D8)</f>
        <v>125450</v>
      </c>
      <c r="E9" s="39" t="n">
        <f aca="false">SUM(E6:E8)</f>
        <v>176112.125</v>
      </c>
      <c r="F9" s="39" t="n">
        <f aca="false">SUM(F6:F8)</f>
        <v>691817.475</v>
      </c>
      <c r="G9" s="39" t="n">
        <f aca="false">SUM(G6:G8)</f>
        <v>2292152.83</v>
      </c>
      <c r="H9" s="39" t="n">
        <f aca="false">SUM(H6:H8)</f>
        <v>6462597.3415</v>
      </c>
    </row>
    <row r="10" customFormat="false" ht="15" hidden="false" customHeight="true" outlineLevel="0" collapsed="false">
      <c r="B10" s="9" t="s">
        <v>489</v>
      </c>
      <c r="D10" s="49" t="n">
        <f aca="false">15000</f>
        <v>15000</v>
      </c>
      <c r="E10" s="49" t="n">
        <f aca="false">28000</f>
        <v>28000</v>
      </c>
      <c r="F10" s="49" t="n">
        <f aca="false">40000</f>
        <v>40000</v>
      </c>
      <c r="G10" s="49" t="n">
        <f aca="false">55000</f>
        <v>55000</v>
      </c>
      <c r="H10" s="49" t="n">
        <f aca="false">75000</f>
        <v>75000</v>
      </c>
    </row>
    <row r="11" customFormat="false" ht="15" hidden="false" customHeight="true" outlineLevel="0" collapsed="false">
      <c r="B11" s="9" t="s">
        <v>490</v>
      </c>
      <c r="D11" s="47" t="n">
        <f aca="false">'CASH FLOW'!D12*-1</f>
        <v>15000</v>
      </c>
      <c r="E11" s="47" t="n">
        <f aca="false">'CASH FLOW'!E12*-1</f>
        <v>20000</v>
      </c>
      <c r="F11" s="47" t="n">
        <f aca="false">'CASH FLOW'!F12*-1</f>
        <v>25000</v>
      </c>
      <c r="G11" s="47" t="n">
        <f aca="false">'CASH FLOW'!G12*-1</f>
        <v>35000</v>
      </c>
      <c r="H11" s="47" t="n">
        <f aca="false">'CASH FLOW'!H12*-1</f>
        <v>50000</v>
      </c>
    </row>
    <row r="12" customFormat="false" ht="15.75" hidden="false" customHeight="true" outlineLevel="0" collapsed="false">
      <c r="B12" s="38" t="s">
        <v>491</v>
      </c>
      <c r="D12" s="39" t="n">
        <f aca="false">SUM(D10:D11)</f>
        <v>30000</v>
      </c>
      <c r="E12" s="39" t="n">
        <f aca="false">SUM(E10:E11)</f>
        <v>48000</v>
      </c>
      <c r="F12" s="39" t="n">
        <f aca="false">SUM(F10:F11)</f>
        <v>65000</v>
      </c>
      <c r="G12" s="39" t="n">
        <f aca="false">SUM(G10:G11)</f>
        <v>90000</v>
      </c>
      <c r="H12" s="39" t="n">
        <f aca="false">SUM(H10:H11)</f>
        <v>125000</v>
      </c>
    </row>
    <row r="13" customFormat="false" ht="19.5" hidden="false" customHeight="true" outlineLevel="0" collapsed="false">
      <c r="B13" s="44" t="s">
        <v>492</v>
      </c>
      <c r="D13" s="45" t="n">
        <f aca="false">D9+D12</f>
        <v>155450</v>
      </c>
      <c r="E13" s="45" t="n">
        <f aca="false">E9+E12</f>
        <v>224112.125</v>
      </c>
      <c r="F13" s="45" t="n">
        <f aca="false">F9+F12</f>
        <v>756817.475</v>
      </c>
      <c r="G13" s="45" t="n">
        <f aca="false">G9+G12</f>
        <v>2382152.83</v>
      </c>
      <c r="H13" s="45" t="n">
        <f aca="false">H9+H12</f>
        <v>6587597.3415</v>
      </c>
    </row>
    <row r="15" customFormat="false" ht="18" hidden="false" customHeight="true" outlineLevel="0" collapsed="false">
      <c r="B15" s="14" t="s">
        <v>493</v>
      </c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B16" s="9" t="s">
        <v>494</v>
      </c>
      <c r="D16" s="49" t="n">
        <f aca="false">8000</f>
        <v>8000</v>
      </c>
      <c r="E16" s="49" t="n">
        <f aca="false">15000</f>
        <v>15000</v>
      </c>
      <c r="F16" s="49" t="n">
        <f aca="false">25000</f>
        <v>25000</v>
      </c>
      <c r="G16" s="49" t="n">
        <f aca="false">40000</f>
        <v>40000</v>
      </c>
      <c r="H16" s="49" t="n">
        <f aca="false">60000</f>
        <v>60000</v>
      </c>
    </row>
    <row r="17" customFormat="false" ht="15" hidden="false" customHeight="true" outlineLevel="0" collapsed="false">
      <c r="B17" s="9" t="s">
        <v>495</v>
      </c>
      <c r="D17" s="47" t="n">
        <f aca="false">IF('P&amp;L'!D36&gt;0,'P&amp;L'!D36*0.1,0)</f>
        <v>0</v>
      </c>
      <c r="E17" s="47" t="n">
        <f aca="false">IF('P&amp;L'!E36&gt;0,'P&amp;L'!E36*0.1,0)</f>
        <v>6977.3625</v>
      </c>
      <c r="F17" s="47" t="n">
        <f aca="false">IF('P&amp;L'!F36&gt;0,'P&amp;L'!F36*0.1,0)</f>
        <v>54766.695</v>
      </c>
      <c r="G17" s="47" t="n">
        <f aca="false">IF('P&amp;L'!G36&gt;0,'P&amp;L'!G36*0.1,0)</f>
        <v>166847.8335</v>
      </c>
      <c r="H17" s="47" t="n">
        <f aca="false">IF('P&amp;L'!H36&gt;0,'P&amp;L'!H36*0.1,0)</f>
        <v>431592.81105</v>
      </c>
    </row>
    <row r="18" customFormat="false" ht="15.75" hidden="false" customHeight="true" outlineLevel="0" collapsed="false">
      <c r="B18" s="38" t="s">
        <v>496</v>
      </c>
      <c r="D18" s="39" t="n">
        <f aca="false">SUM(D16:D17)</f>
        <v>8000</v>
      </c>
      <c r="E18" s="39" t="n">
        <f aca="false">SUM(E16:E17)</f>
        <v>21977.3625</v>
      </c>
      <c r="F18" s="39" t="n">
        <f aca="false">SUM(F16:F17)</f>
        <v>79766.695</v>
      </c>
      <c r="G18" s="39" t="n">
        <f aca="false">SUM(G16:G17)</f>
        <v>206847.8335</v>
      </c>
      <c r="H18" s="39" t="n">
        <f aca="false">SUM(H16:H17)</f>
        <v>491592.81105</v>
      </c>
    </row>
    <row r="19" customFormat="false" ht="15" hidden="false" customHeight="true" outlineLevel="0" collapsed="false">
      <c r="B19" s="9" t="s">
        <v>497</v>
      </c>
      <c r="D19" s="49" t="n">
        <f aca="false">100</f>
        <v>100</v>
      </c>
      <c r="E19" s="49" t="n">
        <f aca="false">100</f>
        <v>100</v>
      </c>
      <c r="F19" s="49" t="n">
        <f aca="false">100</f>
        <v>100</v>
      </c>
      <c r="G19" s="49" t="n">
        <f aca="false">100</f>
        <v>100</v>
      </c>
      <c r="H19" s="49" t="n">
        <f aca="false">100</f>
        <v>100</v>
      </c>
    </row>
    <row r="20" customFormat="false" ht="15" hidden="false" customHeight="true" outlineLevel="0" collapsed="false">
      <c r="B20" s="9" t="s">
        <v>498</v>
      </c>
      <c r="D20" s="47" t="n">
        <f aca="false">'P&amp;L'!D36</f>
        <v>-19450</v>
      </c>
      <c r="E20" s="47" t="n">
        <f aca="false">'P&amp;L'!E36</f>
        <v>69773.625</v>
      </c>
      <c r="F20" s="47" t="n">
        <f aca="false">'P&amp;L'!F36</f>
        <v>547666.95</v>
      </c>
      <c r="G20" s="47" t="n">
        <f aca="false">'P&amp;L'!G36</f>
        <v>1668478.335</v>
      </c>
      <c r="H20" s="47" t="n">
        <f aca="false">'P&amp;L'!H36</f>
        <v>4315928.1105</v>
      </c>
    </row>
    <row r="21" customFormat="false" ht="15" hidden="false" customHeight="true" outlineLevel="0" collapsed="false">
      <c r="B21" s="9" t="s">
        <v>499</v>
      </c>
      <c r="D21" s="49" t="n">
        <f aca="false">150000</f>
        <v>150000</v>
      </c>
      <c r="E21" s="49" t="n">
        <f aca="false">0</f>
        <v>0</v>
      </c>
      <c r="F21" s="49" t="n">
        <f aca="false">0</f>
        <v>0</v>
      </c>
      <c r="G21" s="49" t="n">
        <f aca="false">0</f>
        <v>0</v>
      </c>
      <c r="H21" s="49" t="n">
        <f aca="false">0</f>
        <v>0</v>
      </c>
    </row>
    <row r="22" customFormat="false" ht="15.75" hidden="false" customHeight="true" outlineLevel="0" collapsed="false">
      <c r="B22" s="38" t="s">
        <v>500</v>
      </c>
      <c r="D22" s="39" t="n">
        <f aca="false">SUM(D19:D21)</f>
        <v>130650</v>
      </c>
      <c r="E22" s="39" t="n">
        <f aca="false">SUM(E19:E21)</f>
        <v>69873.625</v>
      </c>
      <c r="F22" s="39" t="n">
        <f aca="false">SUM(F19:F21)</f>
        <v>547766.95</v>
      </c>
      <c r="G22" s="39" t="n">
        <f aca="false">SUM(G19:G21)</f>
        <v>1668578.335</v>
      </c>
      <c r="H22" s="39" t="n">
        <f aca="false">SUM(H19:H21)</f>
        <v>4316028.1105</v>
      </c>
    </row>
    <row r="23" customFormat="false" ht="19.5" hidden="false" customHeight="true" outlineLevel="0" collapsed="false">
      <c r="B23" s="44" t="s">
        <v>501</v>
      </c>
      <c r="D23" s="45" t="n">
        <f aca="false">D18+D22</f>
        <v>138650</v>
      </c>
      <c r="E23" s="45" t="n">
        <f aca="false">E18+E22</f>
        <v>91850.9875</v>
      </c>
      <c r="F23" s="45" t="n">
        <f aca="false">F18+F22</f>
        <v>627533.645</v>
      </c>
      <c r="G23" s="45" t="n">
        <f aca="false">G18+G22</f>
        <v>1875426.1685</v>
      </c>
      <c r="H23" s="45" t="n">
        <f aca="false">H18+H22</f>
        <v>4807620.92155</v>
      </c>
    </row>
    <row r="24" customFormat="false" ht="15.75" hidden="false" customHeight="true" outlineLevel="0" collapsed="false">
      <c r="B24" s="46" t="s">
        <v>502</v>
      </c>
      <c r="D24" s="69" t="n">
        <f aca="false">D13-D23</f>
        <v>16800</v>
      </c>
      <c r="E24" s="69" t="n">
        <f aca="false">E13-E23</f>
        <v>132261.1375</v>
      </c>
      <c r="F24" s="69" t="n">
        <f aca="false">F13-F23</f>
        <v>129283.83</v>
      </c>
      <c r="G24" s="69" t="n">
        <f aca="false">G13-G23</f>
        <v>506726.6615</v>
      </c>
      <c r="H24" s="69" t="n">
        <f aca="false">H13-H23</f>
        <v>1779976.41995</v>
      </c>
    </row>
  </sheetData>
  <mergeCells count="2">
    <mergeCell ref="B1:H1"/>
    <mergeCell ref="B2:H2"/>
  </mergeCells>
  <printOptions headings="false" gridLines="false" gridLinesSet="true" horizontalCentered="false" verticalCentered="false"/>
  <pageMargins left="0.5" right="0.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2026-03-27T19:25:11Z</dcterms:created>
  <dc:creator>openpyxl</dc:creator>
  <dc:description/>
  <dc:language>en-US</dc:language>
  <cp:lastModifiedBy/>
  <dcterms:modified xsi:type="dcterms:W3CDTF">2026-03-27T19:28:29Z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